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<sst xmlns="http://schemas.openxmlformats.org/spreadsheetml/2006/main" count="4304" uniqueCount="1264">
  <si>
    <t>KATALOG RIZQUNA</t>
  </si>
  <si>
    <t>NO</t>
  </si>
  <si>
    <t>JUDUL</t>
  </si>
  <si>
    <t>PENULIS</t>
  </si>
  <si>
    <t>ISBN</t>
  </si>
  <si>
    <t>TAHUN</t>
  </si>
  <si>
    <t>PENERBIT</t>
  </si>
  <si>
    <t>KATEGORI</t>
  </si>
  <si>
    <t>UKURAN</t>
  </si>
  <si>
    <t>HAL</t>
  </si>
  <si>
    <t>CETAK</t>
  </si>
  <si>
    <t>KERTAS</t>
  </si>
  <si>
    <t>FINISHING</t>
  </si>
  <si>
    <t>HARGA</t>
  </si>
  <si>
    <t>ISI</t>
  </si>
  <si>
    <t>COVER</t>
  </si>
  <si>
    <t>Al Qur’an dalam praktik sosial ekonomi : hafidzah sebagai agen transformasi Islam</t>
  </si>
  <si>
    <t>Masngudi, AM Ismatulloh, Aniroh</t>
  </si>
  <si>
    <t>978-623-8608-96-6</t>
  </si>
  <si>
    <t>Rizquna</t>
  </si>
  <si>
    <t>A5 (14 x 21 cm)</t>
  </si>
  <si>
    <t>BW</t>
  </si>
  <si>
    <t>FC</t>
  </si>
  <si>
    <t>Soft Cover</t>
  </si>
  <si>
    <t>Bookpaper</t>
  </si>
  <si>
    <t>PB</t>
  </si>
  <si>
    <t>Beyond memorization : higher-order thinking and the role of ChatGPT in learning</t>
  </si>
  <si>
    <t>Winia Waziana, Widi Andewi, Damar Wibisono, Tommy Hastomo, Muhamad Muslihudin</t>
  </si>
  <si>
    <t>978-623-8608-95-9</t>
  </si>
  <si>
    <t>Formal dan hidden curriculum : konsep dan implementasi mewujudkan profil lulusan berkarakter</t>
  </si>
  <si>
    <t>Dr. Muhammad Nurhalim, M.Pd., Dr. Ahsan Hasbullah, M.Pd.</t>
  </si>
  <si>
    <t>978-623-8608-94-2</t>
  </si>
  <si>
    <t>Internationalizing State Islam Universitas in Indonesia : experience from Australia</t>
  </si>
  <si>
    <t>Sibawaihi, Dwi Ratnasari, Sri Purnami, Melanie Brooks</t>
  </si>
  <si>
    <t>978-623-8608-93-5</t>
  </si>
  <si>
    <t>AI untuk BIPA : strategi baru pembelajaran pelafalan bahasa Indonesia yang efektif</t>
  </si>
  <si>
    <t>Yuyun Setiawan Putra, Hikma Tansilo, Tommy Hastomo, Andini Septama Sari</t>
  </si>
  <si>
    <t>978-623-8608-92-8</t>
  </si>
  <si>
    <t>Empowering independent learners with GenAI in English learning</t>
  </si>
  <si>
    <t>Diyah Trinovita, Eva Nurchurifiani, Tommy Hastomo, Widi Andewi, Muhamad Hasbi</t>
  </si>
  <si>
    <t>978-623-8608-91-1</t>
  </si>
  <si>
    <t>Teaching, research, and community service : a tridharma guide for English educators</t>
  </si>
  <si>
    <t>Muhamad Hasbi, Sri Wahyuningsih, Ika Apriani Fata, Neneng Islamiah, Arjulayana dkk</t>
  </si>
  <si>
    <t>978-623-8608-90-4</t>
  </si>
  <si>
    <t>AI literacy in language education : empowering the next generation of teachers</t>
  </si>
  <si>
    <t>Febriyanti, Eva Nurchurifiani, Tommy Hastomo, Andri Wicaksono, Sukma Septian Nasution</t>
  </si>
  <si>
    <t>978-623-8608-89-8</t>
  </si>
  <si>
    <t>Keamanan sistem informasi : konsep, implementasi dan praktik modern</t>
  </si>
  <si>
    <t>Mochammad Hasymi Somaida, S.T., M.M.S.I., Beny Riswanto, M.Kom., Kusnana, M.Kom., Ratih, S.Kom., M.Kom., Slamet Cahyo Edy Sahputro, M.Kom.</t>
  </si>
  <si>
    <t>978-623-8608-88-1</t>
  </si>
  <si>
    <t>Revitalisasi pamali : dakwah, kearifan lokal, dan modernitas</t>
  </si>
  <si>
    <t>Aris Saefulloh, Rofina Dienasari, Annisa Iktikafani</t>
  </si>
  <si>
    <t>978-623-8608-87-4</t>
  </si>
  <si>
    <t>English for mathematics learning islamic context-based</t>
  </si>
  <si>
    <t>Maria Ulpah dan Muflihah</t>
  </si>
  <si>
    <t>978-623-8608-86-7</t>
  </si>
  <si>
    <t>Dunia afeksi</t>
  </si>
  <si>
    <t>Dr. Zaim Elmubarok, M.A</t>
  </si>
  <si>
    <t>978-623-8608-85-0</t>
  </si>
  <si>
    <t>Harmoni terpadu : integrasi profesi mewujudkan kesejahteraan spiritual dan kesehatan mental</t>
  </si>
  <si>
    <t>Henie Kurniawati, Kurnia Sari Wiwaha, Shaula Astika Putri</t>
  </si>
  <si>
    <t>978-623-8608-84-3</t>
  </si>
  <si>
    <t>Model damai : penguatan kesehatan mental mahasiswa berbasis nilai spiritual dan moderasi beragama</t>
  </si>
  <si>
    <t>Dr. Henie Kurniawati, M.A., Psikolog., Kurnia Sari Wiwaha, M.Ag., Nunung Rahmawati</t>
  </si>
  <si>
    <t>978-623-8608-83-6</t>
  </si>
  <si>
    <t>Pengembangan kurikulum</t>
  </si>
  <si>
    <t>Rini Anita Putri, M.Pd., Dr. Pardan Prasetyo, M.Pd., Dr. Yunea Kusuma Winanti, S.S., M.Pd.</t>
  </si>
  <si>
    <t>978-623-8608-82-9</t>
  </si>
  <si>
    <t>Cerdas berinvestasi : untuk pekerja migran indonesia</t>
  </si>
  <si>
    <t>Prof. Dr. H. Fathul Aminudin Aziz, M.M., Hastin Tri Utami, SE., M.Si., Ak.</t>
  </si>
  <si>
    <t>978-623-8608-81-2</t>
  </si>
  <si>
    <t>Ayat sunyi</t>
  </si>
  <si>
    <t>A. Zulfa Muntafa</t>
  </si>
  <si>
    <t>978-623-8608-80-5</t>
  </si>
  <si>
    <t>Assesment pembelajaran</t>
  </si>
  <si>
    <t>Maria Ulfa, S.E., M.Pd., Dr. Khasanah, M.Pd., Dr. Drs. Samsudin, S.H., M.H., M.Pd</t>
  </si>
  <si>
    <t>978-623-8608-79-9</t>
  </si>
  <si>
    <t>Desain pembelajaran</t>
  </si>
  <si>
    <t>Handri Arba Ayub, M.Pd., Dr. Syarifah, M.Pd., Anugrah Lestari, M.Pd</t>
  </si>
  <si>
    <t>978-623-8608-78-2</t>
  </si>
  <si>
    <t>Studi Islam</t>
  </si>
  <si>
    <t>Ika Mudrika Wati, S.H.I., M.Pd., Dr. Moh. Fahr Yasin, M.Pd.</t>
  </si>
  <si>
    <t>978-623-8608-77-5</t>
  </si>
  <si>
    <t>Deep learning : a handbook for english language teachers</t>
  </si>
  <si>
    <t>Muhamad Hasbi, Neneng Islamiah, Teguh Sulistyo, Saiful Marhaban, Afifah Linda Sari, dkk</t>
  </si>
  <si>
    <t>978-623-8608-76-8</t>
  </si>
  <si>
    <t>Sejarah kebudayaan Islam</t>
  </si>
  <si>
    <t>Prof. Dr. Kholid Mawardi, M.Hum.</t>
  </si>
  <si>
    <t>978-623-8608-75-1</t>
  </si>
  <si>
    <t>Meraih kunci kebahagiaan : menemukan makna, menjalani hidup dengan sadar, dan menyebarkan kebaikan</t>
  </si>
  <si>
    <t>Prof. Dr. H. Rohmad, M.Pd., Afifah Nurul Karimah, M.Psi., Psikolog</t>
  </si>
  <si>
    <t>978-623-8608-74-4</t>
  </si>
  <si>
    <t>Diamku, cerita yang tak terucap</t>
  </si>
  <si>
    <t>Irfatun Nimah</t>
  </si>
  <si>
    <t>978-623-8608-73-7</t>
  </si>
  <si>
    <t>OBE (outcome-based education) : teori dan implementasinya</t>
  </si>
  <si>
    <t>Prof. Dr. H. Suwito, NS., M. Ag., Prof. Dr. H. Rohmad, M. Pd., Dr. H. Saefudin, M.Ed.</t>
  </si>
  <si>
    <t>978-623-8608-72-0</t>
  </si>
  <si>
    <t>Mencari titik temu Islam Sunni-syi’ah : upaya membangun kekuatan politik Islam global</t>
  </si>
  <si>
    <t>Imam Ghozali</t>
  </si>
  <si>
    <t>978-623-8608-71-3</t>
  </si>
  <si>
    <t>Local-based English language teaching across Indonesia</t>
  </si>
  <si>
    <t>Muhamad Hasbi, Hidayah Nor, Ahmad Madkur, Teguh Sulistyo, Yani Sri Mulyani, dkk</t>
  </si>
  <si>
    <t>978-623-8608-70-6</t>
  </si>
  <si>
    <t>Tasawuf di era digital : menyemai spiritualitas dalam komunitas maya dan tantangan otentisitas ajaran</t>
  </si>
  <si>
    <t>Prof. Dr. Khusnul Khotimah, M.Ag.</t>
  </si>
  <si>
    <t>978-623-8608-69-0</t>
  </si>
  <si>
    <t>A5</t>
  </si>
  <si>
    <t>Perempuan-perempuan dalam sejarah Islam Indonesia</t>
  </si>
  <si>
    <t>Annisa Lutfiana, Lilih Solih Khatin, Maidah Wihdatul Muna</t>
  </si>
  <si>
    <t>978-623-8608-68-3</t>
  </si>
  <si>
    <t>Melayani tamu Allah : catatan perjalanan petugas haji kloter</t>
  </si>
  <si>
    <t>Mohammad Qomarul Huda</t>
  </si>
  <si>
    <t>978-623-8608-67-6</t>
  </si>
  <si>
    <t>English instructional technology</t>
  </si>
  <si>
    <t>Tommy Hastomo, Winia Waziana, Widi Andewi, Kartika S, Fikri Kholid</t>
  </si>
  <si>
    <t>978-623-8608-66-9</t>
  </si>
  <si>
    <t>Etika profesi teknik informatika</t>
  </si>
  <si>
    <t>Muhamad Ridwan, Warsono, Much Solehudin, M. Mustangin, Juan Ramadan, dkk</t>
  </si>
  <si>
    <t>978-623-8608-65-2</t>
  </si>
  <si>
    <t>Agama dan transformasi peradaban masyarakat di era digital</t>
  </si>
  <si>
    <t>Imam Ghozali, Imam Hakim</t>
  </si>
  <si>
    <t>978-623-8608-64-5</t>
  </si>
  <si>
    <t>Problem keluarga dan alternatif solusinya</t>
  </si>
  <si>
    <t>Prof. Dr. H. Rohmad, M.Pd.</t>
  </si>
  <si>
    <t>978-623-8608-63-8</t>
  </si>
  <si>
    <t>Kumpulan khotbah jumat menuntun umat menuju ketaatan</t>
  </si>
  <si>
    <t>Dr. H. Afifuddin Idrus, S.Ag., M.Pd.I., Diah Nurjanah, S.Kom.I, Mir’atul Khusna, Drs. Ahmad Sodkin, Slamet Riyadi, S.H., dkk</t>
  </si>
  <si>
    <t>978-623-8608-62-1</t>
  </si>
  <si>
    <t>Kultum Penyejuk Hati</t>
  </si>
  <si>
    <t>Dr. Afifuddin Idrus, S.Ag., M.Pd.I., Alfiatun, S.H.I., Khoerul Anam, S.Ud., Idi Asmarani, S.H.I., Diah Nurjanah, S.Kom.I., dkk</t>
  </si>
  <si>
    <t>978-623-8608-61-4</t>
  </si>
  <si>
    <t>Cerita rakyat Banyumas</t>
  </si>
  <si>
    <t>M. Riyanton, Mustasyfa Thabib Kariadi, Nisa Roiyasa</t>
  </si>
  <si>
    <t>978-623-8608-60-7</t>
  </si>
  <si>
    <t>Refleksologi Islam : terapi ketuk : sentuhan kecil, manfaat besar</t>
  </si>
  <si>
    <t>Frida Atiqotun Nurul Amalia, Dian Marlinda, Wulan Maulidya, Fiqri Rahma Fauzan</t>
  </si>
  <si>
    <t>978-623-8608-59-1</t>
  </si>
  <si>
    <t>AI-powered gamification for writing and learning engagement</t>
  </si>
  <si>
    <t>Febriyantina Istiara, Galuh Dwi Ajeng, Aksendro Maximilian, Tommy Hastomo, Andri Wicaksono, dkk</t>
  </si>
  <si>
    <t>978-623-8608-58-4</t>
  </si>
  <si>
    <t>Puasa, jihad dan cinta</t>
  </si>
  <si>
    <t>Imam Ghozali, Edi Purnomo</t>
  </si>
  <si>
    <t>978-623-8608-57-7 (PDF)</t>
  </si>
  <si>
    <t>978-623-8608-56-0</t>
  </si>
  <si>
    <t>Powerful vocabulary and grammar classroom activities</t>
  </si>
  <si>
    <t>Muhamad Hasbi, Maulana Teguh Perdana, Ahmad Madkur, Eka Dyah Puspita Sari, Hidayah Nor, dkk</t>
  </si>
  <si>
    <t>978-623-8608-55-3</t>
  </si>
  <si>
    <t>Membangun keluarga sakinah : pendekatan ilmiah populer</t>
  </si>
  <si>
    <t>Prof. Dr. H. Rohmad, M.Pd</t>
  </si>
  <si>
    <t>978-623-8608-54-6</t>
  </si>
  <si>
    <t>25 cerita anak inspiratif</t>
  </si>
  <si>
    <t>Imam Mubarok</t>
  </si>
  <si>
    <t>978-623-8608-53-9</t>
  </si>
  <si>
    <t>Agama dan masa depan generasi Islam di era digital</t>
  </si>
  <si>
    <t>978-623-8608-52-2</t>
  </si>
  <si>
    <t>Memoar anestesi-ku : catatan anestesiologi seorang residen anestesi yang disempurnakan jilid 2</t>
  </si>
  <si>
    <t>Igun Winarno</t>
  </si>
  <si>
    <t>978-623-8608-51-5</t>
  </si>
  <si>
    <t>Memoar anestesi-ku : catatan anestesiologi seorang residen anestesi yang disempurnakan jilid 1</t>
  </si>
  <si>
    <t>978-623-8608-50-8</t>
  </si>
  <si>
    <t>Memoar anestesi-ku : catatan anestesiologi seorang residen anestesi yang disempurnakan (edisi lengkap)</t>
  </si>
  <si>
    <t>978-623-8608-49-2</t>
  </si>
  <si>
    <t>Tirakat dan tarikat Gus Dur</t>
  </si>
  <si>
    <t>978-623-8608-48-5</t>
  </si>
  <si>
    <t>Menghidupkan spirit Islam perspektif al-quran dan sirah nabi dalam pendidikan</t>
  </si>
  <si>
    <t>Tia Mugi Winasih</t>
  </si>
  <si>
    <t>978-623-8608-47-8</t>
  </si>
  <si>
    <t>Sejarah Islam di Malaysia</t>
  </si>
  <si>
    <t>Prihatini</t>
  </si>
  <si>
    <t>978-623-8608-46-1</t>
  </si>
  <si>
    <t>Spiritualitas dan budaya lokal : janturan ebeg dalam tradisi penginyongan</t>
  </si>
  <si>
    <t>Prof. Dr. Kholid Mawardi, M.Hum., Alfi Nur’aini, S.Th.I., M.Ag., Agung Firmansyah</t>
  </si>
  <si>
    <t>978-623-8608-45-4</t>
  </si>
  <si>
    <t>HOSPITAL CRASH – Potret Buram Kehidupan Rumah Sakit</t>
  </si>
  <si>
    <t>978-623-8608-44-7</t>
  </si>
  <si>
    <t>Harmonisasi sains dan agama</t>
  </si>
  <si>
    <t>Hendri Hermawan Adinugraha, Abdul Khobir</t>
  </si>
  <si>
    <t>978-623-8608-43-0</t>
  </si>
  <si>
    <t>Pantulan syariat Islam di era post truth</t>
  </si>
  <si>
    <t>978-623-8608-42-3</t>
  </si>
  <si>
    <t>Keilmuan Islam integratif kurikulum perguruan tinggi keagamaan Islam di Indonesia</t>
  </si>
  <si>
    <t>Prof. Dr. Suparjo, M.A., Fajry Sub’haan Syah Sinaga, S.Pd., M.A., Nur Setyaningrum, S.Pd.I., M.S.I., Handika Bayu Prasetya, S.Pd.</t>
  </si>
  <si>
    <t>978-623-8608-41-6</t>
  </si>
  <si>
    <t>Kurikulum matematika terintegrasi keislaman : implementasi di pendidikan tinggi</t>
  </si>
  <si>
    <t>Maria Ulpah, Riris Eka Setiani</t>
  </si>
  <si>
    <t>978-623-8608-40-9</t>
  </si>
  <si>
    <t>Sejarah konflik Palestina</t>
  </si>
  <si>
    <t>Alfi Mukaromah, Anggraeni Theresia Ananda, Dwi Maryana Ningsih, Halinka Zia, Laela Afiatun Nur Azizah, dkk</t>
  </si>
  <si>
    <t>978-623-8608-39-3</t>
  </si>
  <si>
    <t>Prayer and happiness</t>
  </si>
  <si>
    <t>Muhammad Nurhalim, M.A., Hermawan, Karimatul Khaqiqi</t>
  </si>
  <si>
    <t>978-623-8608-38-6</t>
  </si>
  <si>
    <t>Profil ulama Kepulauan Meranti</t>
  </si>
  <si>
    <t>Imam Ghozali, Chanifudin, Syukron Darsyah</t>
  </si>
  <si>
    <t>978-623-8608-37-9</t>
  </si>
  <si>
    <t>Multi-language children stories</t>
  </si>
  <si>
    <t>Jefrianto</t>
  </si>
  <si>
    <t>978-623-8608-36-2</t>
  </si>
  <si>
    <t>Integrating AI and TPACK in language teaching : a guide to ai-powered tools and pedagogical strategies</t>
  </si>
  <si>
    <t>Hajjah Zulianti, M.A., Hastuti, M.Pd., Eva Nurchurifiani, M.Pd., Tommy Hastomo, M.Pd., Aksendro Maximilian, Ph.D., dkk</t>
  </si>
  <si>
    <t>978-623-8608-35-5</t>
  </si>
  <si>
    <t>Agama, politik dan ormas NU di Riau : relasi agama dan politik perspektif pengurus Nahdlatul Ulama Provinsi Riau pada pemilihan presiden 2024</t>
  </si>
  <si>
    <t>978-623-8608-34-8</t>
  </si>
  <si>
    <t>Manakib ulama masyayikh jawi al-wustha jilid 3</t>
  </si>
  <si>
    <t>Akhmad Saefudin SS ME</t>
  </si>
  <si>
    <t>978-623-8608-33-1</t>
  </si>
  <si>
    <t>Manakib ulama masyayikh jawi al-wustha jilid 2</t>
  </si>
  <si>
    <t>978-623-8608-32-4</t>
  </si>
  <si>
    <t>Manakib ulama masyayikh jawi al-wustha jilid 1</t>
  </si>
  <si>
    <t>978-623-8608-31-7</t>
  </si>
  <si>
    <t>Manakib ulama masyayikh jawi al-wustha (edisi lengkap)</t>
  </si>
  <si>
    <t>978-623-8608-30-0</t>
  </si>
  <si>
    <t>AI in academic writing : transforming research practices in higher education</t>
  </si>
  <si>
    <t>Eva Nurchurifiani, Aksendro Maximilian, Galuh Dwi Ajeng, Purna Wiratno, Tommy Hastomo, dkk</t>
  </si>
  <si>
    <t>978-623-8608-29-4</t>
  </si>
  <si>
    <t>Teknologi kinerja</t>
  </si>
  <si>
    <t>Niman Dani, M.Pd., Prof. Dr. Ir. Iffah Budiningsih, M.M., Prof. Dr. H. Dailami Firdaus, S.H., LL.M., MBA.</t>
  </si>
  <si>
    <t>978-623-8608-28-7</t>
  </si>
  <si>
    <t>Enhancing EFL writing with AI chatbots : a new horizon in language learning</t>
  </si>
  <si>
    <t>Winia Waziana, M.Pd., Widi Andewi, M.Pd., Tommy Hastomo, M.Pd., Muhamad Hasbi, M.A.</t>
  </si>
  <si>
    <t>978-623-8608-27-0</t>
  </si>
  <si>
    <t>Kurikulum merdeka : idealitas dan realitas</t>
  </si>
  <si>
    <t>Prof. Dr. H. Rohmad, M.Pd., Prof. Dr. H. Ija Suntana, M.Ag., Mauliya Nandra Arif Fani, M.Pd.</t>
  </si>
  <si>
    <t>978-623-8608-26-3</t>
  </si>
  <si>
    <t>Orientasi baru psikologi dalam pendidikan</t>
  </si>
  <si>
    <t>Anisa Umayah, M.Pd., Dr. Eka Yunita Yustantina, Psi, M.Pd., Dr. Pardan Prasetyo, M.Pd.</t>
  </si>
  <si>
    <t>978-623-8608-25-6</t>
  </si>
  <si>
    <t>Statistik pendidikan</t>
  </si>
  <si>
    <t>Muhammad Ismail Shidik, Khasanah</t>
  </si>
  <si>
    <t>978-623-8608-24-9</t>
  </si>
  <si>
    <t>Difusi dan inovasi dalam pendidikan</t>
  </si>
  <si>
    <t>Rini Anita Putri, M.Pd., Dr. Nursanita Nasution, M.E., Dr. Syarifah, M.Pd.</t>
  </si>
  <si>
    <t>978-623-8608-23-2</t>
  </si>
  <si>
    <t>Membangun SDM yang profesional di rumah sakit</t>
  </si>
  <si>
    <t>978-623-8608-22-5</t>
  </si>
  <si>
    <t>The secret of content writer for beginner</t>
  </si>
  <si>
    <t>Anisah Istiqomah, Firda Diana Kartika Rani, Nafingatul Khasanah, Nailla Salsabila</t>
  </si>
  <si>
    <t>978-623-8608-21-8</t>
  </si>
  <si>
    <t>Landasan pendidikan Islam</t>
  </si>
  <si>
    <t>Dr. Zamakhsyari Abdul Majid, Lc., M.A., Ika Mudrika Wati, S.H.I., M.Pd., Prof. Dr. Masduki Ahmad, S.H., M.M.</t>
  </si>
  <si>
    <t>978-623-8608-20-1</t>
  </si>
  <si>
    <t>Pengembangan media dan pengelolaan sumber belajar</t>
  </si>
  <si>
    <t>Anisa Umayah, M.Pd., Dr. Syarifah, M.Pd., Dr. Moh. Fahr Yasin, M.Pd.</t>
  </si>
  <si>
    <t>978-623-8608-19-5</t>
  </si>
  <si>
    <t>Desakralisasi pernikahan di kalangan aparatur sipil negara</t>
  </si>
  <si>
    <t>Afifudin Idrus</t>
  </si>
  <si>
    <t>978-623-8608-18-8</t>
  </si>
  <si>
    <t>The development of Islamic finance in Brunei Darussalam and Indonesia</t>
  </si>
  <si>
    <t>Prof. Dr. H. Rohmad, M.Pd., Prof. Dr. Mohd Hairul Azrin Haji Besar, Dr. H. Jamal Abdul Aziz, M.Ag., Dr. Ahmad Dahlan, M.S.I.</t>
  </si>
  <si>
    <t>978-623-8608-17-1</t>
  </si>
  <si>
    <t>Landasan teknologi pendidikan : tinjauan teoretis dan pedoman praktis</t>
  </si>
  <si>
    <t>Rini Anita Putri, M.Pd., Dr. Misbah Fikrianto, MM., M.Si., M.Pd., Prof Dr. Ir. Iffah Budiningsih, M.M.</t>
  </si>
  <si>
    <t>978-623-8608-16-4</t>
  </si>
  <si>
    <t>Metode penelitian pendidikan</t>
  </si>
  <si>
    <t>Muhammad Ismail Shidik, M.Pd., Dr. Khasanah, M.Pd., Dr. Moh. Fahri Yasin, M.Pd.</t>
  </si>
  <si>
    <t>978-623-8608-15-7</t>
  </si>
  <si>
    <t>Cyber education : tinjauan teoretis dan pedoman praktis</t>
  </si>
  <si>
    <t>Handri Arba Ayub, M.Pd., Dr. Moh. Fahri Yasin, M.Pd., Dr. Misbah Pikrianto, M.M., M.Pd.</t>
  </si>
  <si>
    <t>978-623-8608-14-0</t>
  </si>
  <si>
    <t>Tik dalam pendidikan</t>
  </si>
  <si>
    <t>Maria Ulfa, M.Pd., Dr. Pardaan Prasetyo, M.Pd., Dr. Syarifah, M.Pd.</t>
  </si>
  <si>
    <t>978-623-8608-13-3</t>
  </si>
  <si>
    <t>Filsafat ilmu</t>
  </si>
  <si>
    <t>Niman Dani, M.Pd., Dr. Drs. Samsudin, S.H., M.H., M.Pd., Prof. Dr. Suparman Kholil, M.A.</t>
  </si>
  <si>
    <t>978-623-8608-12-6</t>
  </si>
  <si>
    <t>Beras merah : bersama Akhmad Saefudin membangun daerah</t>
  </si>
  <si>
    <t>Akhmad Saefudin, S.S., M.E.</t>
  </si>
  <si>
    <t>978-623-8608-11-9</t>
  </si>
  <si>
    <t>Manajemen pengetahuan : teori dan praktik Internasionalisasi perguruan tinggi</t>
  </si>
  <si>
    <t>Sulkhan Chakim, Arsam, M. Fadlan</t>
  </si>
  <si>
    <t>978-623-8608-10-2</t>
  </si>
  <si>
    <t>Buku ajar sejarah pendidikan Islam</t>
  </si>
  <si>
    <t>Prof. Dr. Kholid Mawardi, S.Ag., M.Hum.</t>
  </si>
  <si>
    <t>978-623-8608-09-6</t>
  </si>
  <si>
    <t>Ahlussunah wal jama'ah : wamaa yata'allaqu mimba'di a'maalihim</t>
  </si>
  <si>
    <t>Muhammad Tohirin</t>
  </si>
  <si>
    <t>978-623-8608-08-9</t>
  </si>
  <si>
    <t>How to teach English to gen Z students</t>
  </si>
  <si>
    <t>Muhamad Hasbi, Neneng Islamiah, Ni Luh Putu Ning S.P.A., Fitria Nur Hamidah, Hidayah Nor, dkk</t>
  </si>
  <si>
    <t>978-623-8608-07-2</t>
  </si>
  <si>
    <t>Pengembangan organisasi perguruan tinggi dalam perspektif sivitas akademika dan stakeholder</t>
  </si>
  <si>
    <t>Dr. H. M. Sugeng Sholehuddin, M.Ag., Dr. Muhamad Jaeni, M.Pd., M.Ag., Dr. Hj. Sopiah, M.Ag., Dr. H. Abdul Khobir, M.Ag.</t>
  </si>
  <si>
    <t>978-623-8608-06-5</t>
  </si>
  <si>
    <t>Petualangan parenting : menjelajahi dunia pengasuhan anak yang penuh kejutan</t>
  </si>
  <si>
    <t>Anik Mukti Dwi Pangestu, S.Pd., Rizka Maulida SM, S.Pd., Gusti Layli Qurrotul 'Ayni, S.Pd., Falasifa Larasati, S.Pd., Diyasika Ulinafiah, S.Pd.</t>
  </si>
  <si>
    <t>978-623-8608-05-8</t>
  </si>
  <si>
    <t>Mengungkap fakta dan membuka asa dibalik jeruji besi</t>
  </si>
  <si>
    <t>Evita Putri Lestari, Kauri Nur Indah Ramadhanti, Rizky Poula Rosalinda, Rainda Surnaeni, Efendi Mansur, dkk</t>
  </si>
  <si>
    <t>978-623-8608-04-1</t>
  </si>
  <si>
    <t>UNESCO</t>
  </si>
  <si>
    <t>Menuju Indonesia maju bersih dari narkoba bersama badan narkotika nasional</t>
  </si>
  <si>
    <t>Ikwal Bakthiar, Adlul Hanaf Givani, Akhmad Rifqi Nawawi, Fatmi Khasanah, Farazia Anaami Aqilla, dkk</t>
  </si>
  <si>
    <t>978-623-8608-03-4</t>
  </si>
  <si>
    <t>Evolusi Nahdlatul Ulama : perjalanan dan perubahan menuju masa depan</t>
  </si>
  <si>
    <t>Safii Adnan, Ardi Saputra, Ahmad Chusni Rifa’i, Ahmad Yusuf Darmawan</t>
  </si>
  <si>
    <t>978-623-8608-02-7</t>
  </si>
  <si>
    <t>Jum’at call : Gus Mus menyapa umat</t>
  </si>
  <si>
    <t>Rujito, M.Sos.</t>
  </si>
  <si>
    <t>978-623-8608-01-0</t>
  </si>
  <si>
    <t>Storynomics tourism di Banyumas : dari cerita menjelma wisata</t>
  </si>
  <si>
    <t>Dani Kusumastuti &amp; Oki Edi Purwoko</t>
  </si>
  <si>
    <t>978-623-8608-00-3</t>
  </si>
  <si>
    <t>Useful AI tools for English teachers</t>
  </si>
  <si>
    <t>Aam Alamsyah, Ahmad Faozan, Muhamad Hasbi, Ni Luh Putu Ning Septyarini Putri Astawa, Andi Rizqi Fauzi, dkk</t>
  </si>
  <si>
    <t>978-623-5999-99-9</t>
  </si>
  <si>
    <t>Kaidah-kaidah maqashid</t>
  </si>
  <si>
    <t>Fauzan Azima Syafiuddin, Juhendri, Sumantri Adenin, Muhammad Al-Mansur, Khairul Akhyar, dkk</t>
  </si>
  <si>
    <t>978-623-5999-98-2</t>
  </si>
  <si>
    <t>Masyarakat lintas agama di Indonesia : kerukunan, konflik dan kohesi sosial</t>
  </si>
  <si>
    <t>Dr. Saefudin, M.Ed.</t>
  </si>
  <si>
    <t>978-623-5999-97-5</t>
  </si>
  <si>
    <t>Ma’had aly : mutu akademik dan tantangannya bagi perguruan tinggi keagamaan Islam</t>
  </si>
  <si>
    <t>Prof. Dr. Supriyanto, Lc., M.S.I., Mawi Khusni Albar, M.Pd.I., Hendri Purbo Waseso, M.Pd.I., Dr. M. Faizul Husnayain, M.Pd.I.</t>
  </si>
  <si>
    <t>978-623-5999-96-8</t>
  </si>
  <si>
    <t>Aktualisasi kinerja pengawas : optimalisasi kompetensi dan kapasitas lembaga pendidikan</t>
  </si>
  <si>
    <t>Dr. H. Slamet Wahyudi, M.Pd.</t>
  </si>
  <si>
    <t>978-623-5999-95-1</t>
  </si>
  <si>
    <t>Konsepsi dan aktualisasi moderasi beragama di lembaga pendidikan</t>
  </si>
  <si>
    <t>Dr. Dudiyono, M.Pd.I</t>
  </si>
  <si>
    <t>978-623-5999-94-4</t>
  </si>
  <si>
    <t>Pembatasan mobilitas era pandemi : resiliensi budaya, sosial ekonomi dan religiusitas masyarakat</t>
  </si>
  <si>
    <t>Prof. Dr. Sulkhan Chakim, S.Ag., M.M., Rindha Widyaningsih, S.Fil., M.A.</t>
  </si>
  <si>
    <t>978-623-5999-93-7</t>
  </si>
  <si>
    <t>Jilbab dan identitas bagi narapidana perempuan</t>
  </si>
  <si>
    <t>Prof. Dr. Hj. Khusnul Khotimah, M.Ag.</t>
  </si>
  <si>
    <t>978-623-5999-92-0</t>
  </si>
  <si>
    <t>Pengembangan kurikulum raudhatul athfal : teori dan praktik kurikulum berbasis kearifan lokal</t>
  </si>
  <si>
    <t>Ulpah Maspupah, M.Pd.I., Novi Mayasari, M.Pd.</t>
  </si>
  <si>
    <t>978-623-5999-91-3</t>
  </si>
  <si>
    <t>Metode mu¿asabah neuro linguistic programming : sebuah metode integratif dalam meningkatkan kesejahteraan subjektif</t>
  </si>
  <si>
    <t>Dr. Dr. Muhammad Nurhalim, M.Pd.</t>
  </si>
  <si>
    <t>978-623-5999-90-6</t>
  </si>
  <si>
    <t>Cara pintar mengelola keuangan pribadi</t>
  </si>
  <si>
    <t>Prof. Dr. H. Fathul Aminuddin Aziz, M.M., Hastin Tri Utami, S.E., M.Si., Doddy Afandi Firdaus, M.Si., Arina Nur Arofah, Siti Hanifah Sudiarti</t>
  </si>
  <si>
    <t>978-623-5999-89-0</t>
  </si>
  <si>
    <t>Risk management in higher education</t>
  </si>
  <si>
    <t>Prof. Dr. Munjin, M.Pd.I., Windariyati Dyah Kusumawati, S.Pd., M.Pd., M.A.</t>
  </si>
  <si>
    <t>978-623-5999-88-3</t>
  </si>
  <si>
    <t>Akulturasi Islam Jawa dan budaya dalam pengembangan tradisi ekonomi islam</t>
  </si>
  <si>
    <t>Rahmini Hadi, S.E., M.Si., Yoiz Shofwa Shafrani, SP., M.Si., Dr. Laily Nurhayati, S.E., M.Si.</t>
  </si>
  <si>
    <t>978-623-5999-87-6</t>
  </si>
  <si>
    <t>Konseling eksistensial humanistik berbasis kearifan lokal</t>
  </si>
  <si>
    <t>Nur Azizah, M.Si., Dr. Alief Budiyono, S.Psi., M.Pd., Diah Ayu Harumbina</t>
  </si>
  <si>
    <t>978-623-5999-86-9</t>
  </si>
  <si>
    <t>Eco-sufism</t>
  </si>
  <si>
    <t>Suwito NS</t>
  </si>
  <si>
    <t>978-623-5999-85-2</t>
  </si>
  <si>
    <t>Ahmad Nahrawi Muhtarom (1256/1838-1346/1928) : manaqib dan kiprah intelektual ulama Jawi di Mekkah</t>
  </si>
  <si>
    <t>Prof. Dr. Phil. H.M. Nur Kholis Setiawan, M.A.</t>
  </si>
  <si>
    <t>978-623-5999-84-5</t>
  </si>
  <si>
    <t>Tadzkir : syi’iran pilihan dan kisah-kisah peneguh iman</t>
  </si>
  <si>
    <t>Abu Bakar Sa’ad Musthofa</t>
  </si>
  <si>
    <t>978-623-5999-83-8</t>
  </si>
  <si>
    <t>Relasiku adalah rumah Kristus</t>
  </si>
  <si>
    <t>Daniel Puspo Wardojo</t>
  </si>
  <si>
    <t>978-623-5999-82-1</t>
  </si>
  <si>
    <t>Fatamorgana batas hati</t>
  </si>
  <si>
    <t>Mokhamad Arif Indryanto</t>
  </si>
  <si>
    <t>978-623-5999-81-4</t>
  </si>
  <si>
    <t>dewasa</t>
  </si>
  <si>
    <t>Secercah cerita di desa cingebul</t>
  </si>
  <si>
    <t>Nurbilal Abdullah Syamsul Ridho, Gebyar Cahya Aditya, Muhammad Ridwan, Muhammad Fariz Reza, Nendi Muhammad Budiaji, dkk</t>
  </si>
  <si>
    <t>978-623-5999-80-7</t>
  </si>
  <si>
    <t>Melihat desa Madura dari dekat</t>
  </si>
  <si>
    <t>Farah Lutfi Azizah, Sukma Pandu Aji, Fuad Zein, Dian Sasmita, Siti Nurindah Marfuah, dkk</t>
  </si>
  <si>
    <t>978-623-5999-79-1</t>
  </si>
  <si>
    <t>Bimbingan klien bagi anak pelaku tindak pidana narkoba</t>
  </si>
  <si>
    <t>Feri Sumori</t>
  </si>
  <si>
    <t>978-623-5999-78-4</t>
  </si>
  <si>
    <t>Asaasiyatu ‘ilm al-balaghoh</t>
  </si>
  <si>
    <t>Amin Khaerudin</t>
  </si>
  <si>
    <t>978-623-5999-77-7</t>
  </si>
  <si>
    <t>Memory of 70 years H Soepardi Harris (19 June 1953 – 19 June 2023)</t>
  </si>
  <si>
    <t>978-623-5999-76-0</t>
  </si>
  <si>
    <t>Peduli kemanusiaan dalam bingkai pemerintahan : kumpulan essay</t>
  </si>
  <si>
    <t>Shafira Shabil Hariyanto, Vivi Ariyanti, Nurul Afifah, Novita Devi Nur Anggraeni, Muhammad Aimar Yahya, dkk</t>
  </si>
  <si>
    <t>978-623-5999-75-3</t>
  </si>
  <si>
    <t>The PR management and brand image in Islamic higher education</t>
  </si>
  <si>
    <t>Dr. Munjin, M.Pd.I., Windariyati Dyah Kusumawati, S.Pd., M.Pd., M.A.</t>
  </si>
  <si>
    <t>978-623-5999-74-6</t>
  </si>
  <si>
    <t>Nggade (rahn), maro (muzara‘ah) dan mertelu (mukhabarah) pada perekonomian masyarakat Banyumas</t>
  </si>
  <si>
    <t>Dr. H. A. Luthfi Hamidi, M.Ag., Siti Ma’sumah, S.E., M.Si., Ibnu Trisal Adam, S.S., M.Hum., Istiani Nurul Azah</t>
  </si>
  <si>
    <t>978-623-5999-73-9</t>
  </si>
  <si>
    <t>Takhtit ta‘limul lughotul ‘arabiyah = perencanaan pembelajaran bahasa Arab</t>
  </si>
  <si>
    <t>Ali Muhdi, Muhammad Syadid Dailami</t>
  </si>
  <si>
    <t>978-623-5999-72-2</t>
  </si>
  <si>
    <t>Etnografi ritus kematian : kontestasi, kompromi dan toleransi santri terhadap tradisi nyewu</t>
  </si>
  <si>
    <t>Dr. Kholid Mawardi, S.Ag., M.Hum.</t>
  </si>
  <si>
    <t>978-623-5999-71-5</t>
  </si>
  <si>
    <t>Mahir membuat aplikasi pembelajaran Android</t>
  </si>
  <si>
    <t>Siti Sulaikho, Moh. Anshori Aris Widya, Ulfa Wulan Agustina</t>
  </si>
  <si>
    <t>978-623-5999-70-8</t>
  </si>
  <si>
    <t>Kalam pena : tentang cinta, luka, dan toga</t>
  </si>
  <si>
    <t>Dwi Setiyawan, M.Pd., Sigit Andi Prasetya Dinata, M.Pd., Sebriana Cahya Eri, Rintan Dwi Novari, Arta Melani, dkk</t>
  </si>
  <si>
    <t>978-623-5999-69-2</t>
  </si>
  <si>
    <t>Relasi sosial politik Nahdlatul Ulama pada masa penjajahan Belanda tahun 1926-1942</t>
  </si>
  <si>
    <t>Dr. Kholid Mawardi, S.Ag., M.Hum., Imam Hidayat, M.Pd.I.</t>
  </si>
  <si>
    <t>978-623-5999-68-5</t>
  </si>
  <si>
    <t>Manajemen sumber daya manusia dalam organisasi dan bisnis modern</t>
  </si>
  <si>
    <t>Nurul Huda dan Syaefudin Aziz</t>
  </si>
  <si>
    <t>978-623-5999-67-8</t>
  </si>
  <si>
    <t>Probabilitas keputusan memilih bank syariah</t>
  </si>
  <si>
    <t>Dr. Ida Nurlaeli, M.Ag</t>
  </si>
  <si>
    <t>978-623-5999-66-1</t>
  </si>
  <si>
    <t>Pemberdayaan perempuan berbasis pesantren</t>
  </si>
  <si>
    <t>Dr. Farichatul Maftuchah, M.Ag, Harisman, M.Ag</t>
  </si>
  <si>
    <t>978-623-5999-65-4</t>
  </si>
  <si>
    <t>Trend pengembangan keilmuwan era digital di kalangan pelajar pondok pesantren</t>
  </si>
  <si>
    <t>Dr. Suparjo, M.A., Dr. Nurul Azizah, S.Pd.I., M.Pd., Sutrimo Purnomo, S.Pd.I., M.Pd.</t>
  </si>
  <si>
    <t>978-623-5999-64-7</t>
  </si>
  <si>
    <t>Perempuan memimpin pesantren</t>
  </si>
  <si>
    <t>Dr. Hj. Khusnul Khotimah, M.Ag</t>
  </si>
  <si>
    <t>978-623-5999-63-0</t>
  </si>
  <si>
    <t>Pernikahan dini : tantangan dan persoalan remaja</t>
  </si>
  <si>
    <t>Dr. Alief Budiyono, S.Psi., M.Pd., Vici Prihmaningrum AM, M.A.</t>
  </si>
  <si>
    <t>978-623-5999-62-3</t>
  </si>
  <si>
    <t>Mengembangkan potensi karakter</t>
  </si>
  <si>
    <t>Bambang Purnomo S.Pd</t>
  </si>
  <si>
    <t>978-623-5999-61-6</t>
  </si>
  <si>
    <t>Potret business sustainability usaha mikro kecil dan menengah (UMKM) di tengah badai Covid-19</t>
  </si>
  <si>
    <t>Dr. H. Fathul Aminudin Aziz, MM, Hastin Tri Utami, SE, M.Si, Ak, Kartika Wanojaleni, M.Ag</t>
  </si>
  <si>
    <t>978-623-5999-60-9</t>
  </si>
  <si>
    <t>Strategi meningkatkan motivasi belajar siswa</t>
  </si>
  <si>
    <t>Novi Mayasari, M.Pd, Dr. Johar Alimuddin, M.Pd</t>
  </si>
  <si>
    <t>978-623-5999-59-3</t>
  </si>
  <si>
    <t>E-Counseling di lembaga pendidikan : konsepsi dan aktualisasi konseling transformatif</t>
  </si>
  <si>
    <t>Nur Azizah, M.Si., Dr. Alief Budiyono, M.Pd., Adhitya Ridwan Budhi P.N., S.Sos</t>
  </si>
  <si>
    <t>978-623-5999-58-6</t>
  </si>
  <si>
    <t>Indonesian studies learning the wonderful of Indonesia</t>
  </si>
  <si>
    <t>Maria Johana Ari Widayanti, Mohamad Ikhwan Rosyidi, Dennis Audria Pramana, Farel Gerald</t>
  </si>
  <si>
    <t>978-623-5999-57-9</t>
  </si>
  <si>
    <t>Memahami proses menulis ilmiah</t>
  </si>
  <si>
    <t>Thohiriyah, S.S., M.Hum.</t>
  </si>
  <si>
    <t>978-623-5999-56-2</t>
  </si>
  <si>
    <t>Reproduksi budaya dan tradisi keagamaan masyarakat migran Banyumasan</t>
  </si>
  <si>
    <t>Dr. Supriyanto, Lc, M.S.I., Agus Sunaryo, M.S.I., Mawi Khusni Albar, M.Pd.I., Ahmad Hazaz Syarif, M.E.I</t>
  </si>
  <si>
    <t>978-623-5999-55-5</t>
  </si>
  <si>
    <t>Komunikasi interpersonal nabi dalam hadis-hadis dialogis : upaya mengkonstruksi sunnah fikriyyah</t>
  </si>
  <si>
    <t>Dr. Munawir, M.S.I., Dr. Musta’in, M.Si., Unggul Prayoga</t>
  </si>
  <si>
    <t>978-623-5999-54-8</t>
  </si>
  <si>
    <t>Paleografi Arab pegon : perspektif filologis dan historis</t>
  </si>
  <si>
    <t>Jamaluddin, S.Hum., M.A</t>
  </si>
  <si>
    <t>978-623-5999-53-1</t>
  </si>
  <si>
    <t>Manajemen kurikulum muatan lokal budaya Banyumasan : teori dan praktik</t>
  </si>
  <si>
    <t>Ulpah Maspupah, M.Pd.I &amp; Novi Mayasari, M.Pd.</t>
  </si>
  <si>
    <t>978-623-5999-52-4</t>
  </si>
  <si>
    <t>Syahadat : apa yang kutemukan sebelum menerima Islam</t>
  </si>
  <si>
    <t>Bambang Purnomo</t>
  </si>
  <si>
    <t>978-623-5999-51-7</t>
  </si>
  <si>
    <t>Efektivitas media lectora inspire berbasis STEM guna meningkatkan keterampilan HOTS peserta didik</t>
  </si>
  <si>
    <t>Aziz Kurniawan, M.Pd.</t>
  </si>
  <si>
    <t>978-623-5999-50-0</t>
  </si>
  <si>
    <t>Sebersit inspirasi, coretan intelektual pribadi kader</t>
  </si>
  <si>
    <t>Abdullah Furqon, Arine Rahmah Ramadhani, Arinta Lyra Anggraeni, Aqilatun Zulfa, Defika Yusanti, dkk</t>
  </si>
  <si>
    <t>978-623-5999-49-4</t>
  </si>
  <si>
    <t>Pengembangan media pembelajaran lectora inspire</t>
  </si>
  <si>
    <t>Aziz Kurniawan, M.Pd, Khafifatul Fian, S.Pd.</t>
  </si>
  <si>
    <t>978-623-5999-48-7</t>
  </si>
  <si>
    <t>Resilience in language teaching and learning in the new normal</t>
  </si>
  <si>
    <t>Bayu Andika Prasatyo, Beny Hamdani, Daniel Ginting, Devian Try Gustary, Dini Deswarni, dkk</t>
  </si>
  <si>
    <t>978-623-5999-47-0</t>
  </si>
  <si>
    <t>Ilmu qira’at sab’ah</t>
  </si>
  <si>
    <t>Dr. Muhammad Sofwan Mubarir, MA</t>
  </si>
  <si>
    <t>978-623-5999-46-3</t>
  </si>
  <si>
    <t>Disrupsi sosial dan masa depan studi islam : pada masyarakat berkebudayaan lokal</t>
  </si>
  <si>
    <t>Ansori, Ridwan, Ahmad Muttaqin</t>
  </si>
  <si>
    <t>978-623-5999-45-6</t>
  </si>
  <si>
    <t>Interaksi kisah, penyiaran, dan publikasi</t>
  </si>
  <si>
    <t>Silma Ulqiatul Mastika, Sintiya Rahmawati, Rahmawati, Putri Maharani Nurlaila, Baha’ul Labib, dkk</t>
  </si>
  <si>
    <t>978-623-5999-44-9</t>
  </si>
  <si>
    <t>Optimalisasi peran pembimbing kemasyarakatan dalam pendampingan anak berkonflik dengan hukum</t>
  </si>
  <si>
    <t>Dian Puspita Sari, S.H</t>
  </si>
  <si>
    <t>978-623-5999-43-2</t>
  </si>
  <si>
    <t>Pendidikan agama Islam (PAI) berbasis sains Islam integratif di sekolah menengah atas (SMA) Islam</t>
  </si>
  <si>
    <t>Dr. Suparjo, M.A, Dr. Moh. Hanif, M.Ag., M.A, Dimas Indianto S., M.Pd.I</t>
  </si>
  <si>
    <t>978-623-5999-42-5</t>
  </si>
  <si>
    <t>Peran pembimbing kemasyarakatan dalam pelaksanaan diversi terhadap anak yang berkonflik dengan hukum</t>
  </si>
  <si>
    <t>Murwanto, S.Sos</t>
  </si>
  <si>
    <t>978-623-5999-41-8</t>
  </si>
  <si>
    <t>Filsafat akhlak Ibnu Miskawaih</t>
  </si>
  <si>
    <t>Dr. H. Supriyanto, Lc., M.S.I</t>
  </si>
  <si>
    <t>978-623-5999-40-1</t>
  </si>
  <si>
    <t>Pandangan tokoh muslim di Indonesia terhadap pandemi Covid-19</t>
  </si>
  <si>
    <t>Rotala Sofiyatunnisa, S.Ag</t>
  </si>
  <si>
    <t>978-623-5999-39-5</t>
  </si>
  <si>
    <t>Sejarah Muslimat NU Banyumas</t>
  </si>
  <si>
    <t>Hj. Siti Rofi’ah, Ninung Saifunah, M.Pd.I., Hj. Indri Rachmawati, S.Pd., Ekowati Handayani, Hj. Muhiroh, S.Pd</t>
  </si>
  <si>
    <t>978-623-5999-38-8</t>
  </si>
  <si>
    <t>Layanan konseling individu berwawasan ekologi di sekolah</t>
  </si>
  <si>
    <t>Adhitya Ridwan Budhi Prasetyo Nugroho</t>
  </si>
  <si>
    <t>978-623-5999-37-1</t>
  </si>
  <si>
    <t>Mobil antik 2 jadi musholla</t>
  </si>
  <si>
    <t>Muhyi Fadlil, Anita, Laelatul Qodriyah</t>
  </si>
  <si>
    <t>978-623-5999-36-4</t>
  </si>
  <si>
    <t>Bimbingan manasik haji dan umrah</t>
  </si>
  <si>
    <t>Drs. K.H. Mughni Labib, M.S.I</t>
  </si>
  <si>
    <t>978-623-5999-35-7</t>
  </si>
  <si>
    <t>Literasi perempuan : narasi khidmat untuk generasi unggul</t>
  </si>
  <si>
    <t>Anisah, S.Pd., Nusrotin Rufaidah, Mutmainah, Qomariyah, Tanti Rubiyanti, dkk</t>
  </si>
  <si>
    <t>978-623-5999-34-0</t>
  </si>
  <si>
    <t>25 Toga : Tanaman Obat Keluarga versi Banyumasan</t>
  </si>
  <si>
    <t>dr Agus Ujianto, MSi Med SpB</t>
  </si>
  <si>
    <t>978-623-5999-33-3</t>
  </si>
  <si>
    <t>A6</t>
  </si>
  <si>
    <t>Salahuddin Al-Ayyubi : kisah kepahlawanannya dalam perang salib</t>
  </si>
  <si>
    <t>Nurrohim, Lc., M.Hum., Fitri Sari Setyorini, S.Hum., M.Hum.</t>
  </si>
  <si>
    <t>978-623-5999-32-6</t>
  </si>
  <si>
    <t>Pengembangan bahan ajar pendidikan agama Islam (PAI) berbasis sains Islam integratif di sekolah menengah atas (SMA) Islam</t>
  </si>
  <si>
    <t>978-623-5999-31-9</t>
  </si>
  <si>
    <t>Jogja terbuat dari rindu</t>
  </si>
  <si>
    <t>Efria Siti Syamsiah, S.E.</t>
  </si>
  <si>
    <t>978-623-5999-30-2</t>
  </si>
  <si>
    <t>Kajian Al Qur’an di kalangan orientalis</t>
  </si>
  <si>
    <t>Prof. Dr. Phil. H. M. Nur Kholis Setiawan, M.A.</t>
  </si>
  <si>
    <t>978-623-5999-29-6</t>
  </si>
  <si>
    <t>Bimbingan dan konseling di sekolah</t>
  </si>
  <si>
    <t>Ernatus Zulaihah, Khumdatul Hikmah, Muhammad Zidane Burhanudin, Intan Safinatunnajah, Lia Nur Janah, dkk</t>
  </si>
  <si>
    <t>978-623-5999-28-9</t>
  </si>
  <si>
    <t>Deradikalisasi pemahaman agama pada mahasiswa</t>
  </si>
  <si>
    <t>Drs. K.H. Mughni Labib, M.S.I, Abdul Basith, S.Th.I., M.H.I</t>
  </si>
  <si>
    <t>978-623-5999-27-2</t>
  </si>
  <si>
    <t>Sensivitas gender di pondok pesantren</t>
  </si>
  <si>
    <t>Dr. Farichatul Maftuchah, M.Ag., Ismail, Lc., M.Hum.</t>
  </si>
  <si>
    <t>978-623-5999-26-5</t>
  </si>
  <si>
    <t>Tadabbur dakwah transformatif di pondok pesantren</t>
  </si>
  <si>
    <t>Dr. Hj. Khusnul Khotimah, M.Ag.</t>
  </si>
  <si>
    <t>978-623-5999-25-8</t>
  </si>
  <si>
    <t>Konstruksi epistemologi Islam</t>
  </si>
  <si>
    <t>Muhammad Sholeh, dkk</t>
  </si>
  <si>
    <t>978-623-5999-24-1</t>
  </si>
  <si>
    <t>Puasa pertama Aqil : cerita anak muslim amar ma’ruf nahi munkar</t>
  </si>
  <si>
    <t>A‘tina Fatha</t>
  </si>
  <si>
    <t>978-623-5999-23-4</t>
  </si>
  <si>
    <t>Epistemologi fiqih kontemporer : kaidah hukum Islam menjawab pandemi</t>
  </si>
  <si>
    <t>H. Ma’sum Anshori</t>
  </si>
  <si>
    <t>978-623-5999-22-7</t>
  </si>
  <si>
    <t>Manajemen mutu pendidikan madrasah</t>
  </si>
  <si>
    <t>H. Edi Sungkowo, Saiful Hamdi</t>
  </si>
  <si>
    <t>978-623-5999-21-0</t>
  </si>
  <si>
    <t>Bimbingan mental spiritual di balai rehabilitasi bagi korban</t>
  </si>
  <si>
    <t>Nur Azizah, dkk</t>
  </si>
  <si>
    <t>978-623-5999-20-3</t>
  </si>
  <si>
    <t>Potret kinerja perguruan tinggi dalam menghadapi era revolusi industri 4.0</t>
  </si>
  <si>
    <t>H. Suwito, dkk</t>
  </si>
  <si>
    <t>978-623-5999-19-7</t>
  </si>
  <si>
    <t>Ketentuan umum dan tatacara perpajakan : serta faktor-faktor yang mempengaruhi kepatuhan wajib pajak</t>
  </si>
  <si>
    <t>H. A. Luthfi Hamidi, Siti Ma’sumah</t>
  </si>
  <si>
    <t>978-623-5999-18-0</t>
  </si>
  <si>
    <t>Nilai-nilai kepramukaan dalam Al-Qur’an</t>
  </si>
  <si>
    <t>Ahmad Sobirin</t>
  </si>
  <si>
    <t>978-623-5999-17-3</t>
  </si>
  <si>
    <t>Pengembangan keberagamaan anak tuna netra</t>
  </si>
  <si>
    <t>Toifur, Rahman Affandi</t>
  </si>
  <si>
    <t>978-623-5999-16-6</t>
  </si>
  <si>
    <t>Belajar teori dasar gitar</t>
  </si>
  <si>
    <t>Khulqian Afif</t>
  </si>
  <si>
    <t>978-623-5999-15-9</t>
  </si>
  <si>
    <t>Potret religiusitas dan toleransi beragama di kalangan pelajar SMA</t>
  </si>
  <si>
    <t>Suparjo, dkk</t>
  </si>
  <si>
    <t>978-623-5999-14-2</t>
  </si>
  <si>
    <t>Cerpen pesona alam dan budaya Pulau Sumatera</t>
  </si>
  <si>
    <t>Novi Mayasari, dkk</t>
  </si>
  <si>
    <t>978-623-5999-13-5</t>
  </si>
  <si>
    <t>Pesona alam dan budaya pulau Jawa : antologi cerpen</t>
  </si>
  <si>
    <t>978-623-5999-12-8</t>
  </si>
  <si>
    <t>Pesona alam dan budaya Indonesia Timur</t>
  </si>
  <si>
    <t>978-623-5999-11-1</t>
  </si>
  <si>
    <t>Kholid Mawardi, dkk</t>
  </si>
  <si>
    <t>978-623-5999-10-4</t>
  </si>
  <si>
    <t>Pemanfaatan literasi digital sebagai basis pembelajaran moderasi beragama</t>
  </si>
  <si>
    <t>Syaefudin Achmad</t>
  </si>
  <si>
    <t>978-623-5999-09-8</t>
  </si>
  <si>
    <t>Pemodelan program inkubator bisnis bagi organisasi kepemudaan Islam untuk pengembangan produk unggulan perdesaan</t>
  </si>
  <si>
    <t>Mawi Khusni Albar, Khairunnisa Dwinalida, Yuliana</t>
  </si>
  <si>
    <t>978-623-5999-08-1</t>
  </si>
  <si>
    <t>Wonderful Kalimantan : antologi cerpen</t>
  </si>
  <si>
    <t>978-623-5999-07-4</t>
  </si>
  <si>
    <t>Pandemi Covid-19, inovasi dan pemberdayaan masyarakat</t>
  </si>
  <si>
    <t>Agung Pamilu, dkk</t>
  </si>
  <si>
    <t>978-623-5999-06-7</t>
  </si>
  <si>
    <t>Bimbingan keagamaan Islam klien pemasyarakatan</t>
  </si>
  <si>
    <t>Kaswan</t>
  </si>
  <si>
    <t>978-623-5999-05-0</t>
  </si>
  <si>
    <t>Semangat bangkit kembali di tengah pandemi</t>
  </si>
  <si>
    <t>Bayu Sudrajat, dkk</t>
  </si>
  <si>
    <t>978-623-5999-04-3</t>
  </si>
  <si>
    <t>Pola keberagamaan jamaah pengajian An Nahl di Yogyakarta</t>
  </si>
  <si>
    <t>Ida Novianti, Sidik Fauji, Gardina Akhla</t>
  </si>
  <si>
    <t>978-623-5999-03-6</t>
  </si>
  <si>
    <t>Visi keislaman dan kebangsaan ormas keagamaan di Indonesia</t>
  </si>
  <si>
    <t>Supriyanto, dkk</t>
  </si>
  <si>
    <t>978-623-5999-02-9</t>
  </si>
  <si>
    <t>Buku panduan praktikum aplikasi statistik pendidikan</t>
  </si>
  <si>
    <t>Mutijah, Ulfah Rulli Hastuti</t>
  </si>
  <si>
    <t>978-623-5999-01-2</t>
  </si>
  <si>
    <t>Bahan ajar basis data</t>
  </si>
  <si>
    <t>Ummi Athiyah, Rima Dias Ramadhani</t>
  </si>
  <si>
    <t>978-623-5999-00-5</t>
  </si>
  <si>
    <t>Madrasah sebagai lembaga pendidikan Islam : studi transformasi kelembagaan di MAN 1 Wonosobo dan MAN 2 Wonosobo</t>
  </si>
  <si>
    <t>H. Asdlori, M. A. Hermawan</t>
  </si>
  <si>
    <t>978-623-6018-99-6</t>
  </si>
  <si>
    <t>Moderasi beragama, ekonomi dan kesehatan masyarakat di masa pandemi Covid-19</t>
  </si>
  <si>
    <t>Samsul Arifin, dkk</t>
  </si>
  <si>
    <t>978-623-6018-98-9</t>
  </si>
  <si>
    <t>Pokok-pokok ilmu balaghah</t>
  </si>
  <si>
    <t>978-623-6018-97-2</t>
  </si>
  <si>
    <t>Pemetaan sosial (social mapping) masyarakat kelurahan Karangsentul &amp; desa Karangjengkol kabupaten Purbalingga</t>
  </si>
  <si>
    <t>Fitria Zana Kumala &amp; Rosna Intan Wulanjari</t>
  </si>
  <si>
    <t>978-623-6018-96-5</t>
  </si>
  <si>
    <t>Bersatu dalam kebinekaan : sebuah pengantar kolaborasi penelitian dosen dan mahasiswa</t>
  </si>
  <si>
    <t>Imam Ghozali, dkk</t>
  </si>
  <si>
    <t>978-623-6018-95-8</t>
  </si>
  <si>
    <t>Pembelajaran pada masa pandemi covid-19 di sekolah dasar program inklusi (studi naturalistik faktor sosial, ekonomi, dan psikologis di kabupaten Purbalingga)</t>
  </si>
  <si>
    <t>Rohmad, dkk</t>
  </si>
  <si>
    <t>978-623-6018-94-1</t>
  </si>
  <si>
    <t>Implementasi program kemitraan masyarakat dalam pemberdayaan petani labu kuning</t>
  </si>
  <si>
    <t>Suwanto, Roihatul Zahroh, Chabib Bahari</t>
  </si>
  <si>
    <t>978-623-6018-93-4</t>
  </si>
  <si>
    <t>Antara kampung Arab Kebumen dan kampung Inggris Kebumen (studi pengembangan bahasa asing melalui kampung bahasa di kabupaten Kebumen)</t>
  </si>
  <si>
    <t>Akhmad Sangid &amp; Ali Muhdi</t>
  </si>
  <si>
    <t>978-623-6018-92-7</t>
  </si>
  <si>
    <t>Simpul pergerakan</t>
  </si>
  <si>
    <t>Ully Azizah, dkk</t>
  </si>
  <si>
    <t>978-623-6018-91-0</t>
  </si>
  <si>
    <t>Annual book kegiatan MBKM dan magang</t>
  </si>
  <si>
    <t>Sunahrowi, dkk</t>
  </si>
  <si>
    <t>978-623-6018-90-3</t>
  </si>
  <si>
    <t>Integrasi pembelajaran bahasa Arab dengan nilai-nilai pendidikan agama Islam di Pesantren Sabilu El-Muhtadin di Cimanuk, Pandeglang, Banten</t>
  </si>
  <si>
    <t>Dina Indriana, dkk</t>
  </si>
  <si>
    <t>978-623-6018-89-7</t>
  </si>
  <si>
    <t>Moderasi beragama cermin politik ke-Indonesia-an : sebuah pengantar penelitian kolaborasi dosen dan mahasiswa</t>
  </si>
  <si>
    <t>978-623-6018-88-0</t>
  </si>
  <si>
    <t>Dari gunung untuk negeri (setitik asa di era pandemi) : antologi artikel pengabdian mahasiswa kaki Gunung Slamet</t>
  </si>
  <si>
    <t>Maria Ulfah, dkk</t>
  </si>
  <si>
    <t>978-623-6018-87-3</t>
  </si>
  <si>
    <t>B5</t>
  </si>
  <si>
    <t>Integritas nilai-nilai dalam masyarakat</t>
  </si>
  <si>
    <t>Asta Listiana, dkk</t>
  </si>
  <si>
    <t>978-623-6018-86-6</t>
  </si>
  <si>
    <t>The soul of counselor</t>
  </si>
  <si>
    <t>Dina Zulfa Mahfuda, dkk</t>
  </si>
  <si>
    <t>978-623-6018-85-9</t>
  </si>
  <si>
    <t>Pengembangan konsep paradigma integrasi keilmuan UIN Prof. K.H. Saifuddin Zuhri Purwokerto</t>
  </si>
  <si>
    <t>Fauzi, dkk</t>
  </si>
  <si>
    <t>978-623-6018-84-2</t>
  </si>
  <si>
    <t>Ranum : kumpulan cerpen Islami untuk anak</t>
  </si>
  <si>
    <t>Nur Hidayah</t>
  </si>
  <si>
    <t>978-623-6018-83-5</t>
  </si>
  <si>
    <t>Apresiasi sastra Perancis : sebuah model apresiasi karya sastra asing</t>
  </si>
  <si>
    <t>Sunahrowi</t>
  </si>
  <si>
    <t>978-623-6018-82-8</t>
  </si>
  <si>
    <t>Mengapa aku ber-IMM? : IMM Komisariat Ibrahim 2020/2021</t>
  </si>
  <si>
    <t>Dwi Ali Susanto, dkk</t>
  </si>
  <si>
    <t>978-623-6018-81-1</t>
  </si>
  <si>
    <t>Maqbul dan mardud dalam tafsir Isyari : studi atas tafsir Jailani karya Syaikh Abdul Qadir Jailani (470 H-561 H)</t>
  </si>
  <si>
    <t>Muhammad Labib Syauqi</t>
  </si>
  <si>
    <t>978-623-6018-80-4</t>
  </si>
  <si>
    <t>Karena pandemi : Kami mengabdi di kampung sendiri</t>
  </si>
  <si>
    <t>Yuni Maesaroh, dkk</t>
  </si>
  <si>
    <t>978-623-6018-79-8</t>
  </si>
  <si>
    <t>Pengabdian KKN MB-48 kepada masyarakat di masa pandemi (kluster 25)</t>
  </si>
  <si>
    <t>Rahma Anggita Laras, dkk</t>
  </si>
  <si>
    <t>978-623-6018-78-1</t>
  </si>
  <si>
    <t>Nanas memadu rindu coronapun berlalu</t>
  </si>
  <si>
    <t>Indri Setiyani, dkk</t>
  </si>
  <si>
    <t>978-623-6018-77-4</t>
  </si>
  <si>
    <t>Saatnya mahasiswa mengabdi</t>
  </si>
  <si>
    <t>Annisa Solikhah, dkk</t>
  </si>
  <si>
    <t>978-623-6018-76-7</t>
  </si>
  <si>
    <t>Serba-serbi pengabdian masyarakat mahasiswa KKN di masa pandemi Covid-19</t>
  </si>
  <si>
    <t>Aenun Mutoharoh, dkk</t>
  </si>
  <si>
    <t>978-623-6018-75-0</t>
  </si>
  <si>
    <t>Green science learning berorientasi mitos Telaga Ranjeng : lembar kerja peserta didik (LKPD)</t>
  </si>
  <si>
    <t>Anggraeni Mashinta Sulistyani, Zuhdan Kun Prasetyo, Farida Hanum</t>
  </si>
  <si>
    <t>978-623-6018-74-3</t>
  </si>
  <si>
    <t>A4</t>
  </si>
  <si>
    <t>Sastra dan tahun-tahun perjuangan</t>
  </si>
  <si>
    <t>Dimas Indiana Senja</t>
  </si>
  <si>
    <t>978-623-6018-73-6</t>
  </si>
  <si>
    <t>Nilai-nilai kepemimpinan dakwah K.H. Saifuddin Zuhri</t>
  </si>
  <si>
    <t>Enung Asmaya, Muridan</t>
  </si>
  <si>
    <t>978-623-6018-72-9</t>
  </si>
  <si>
    <t>Model pembelajaran bahasa Arab di madrasah aliyah berbasis pesantren</t>
  </si>
  <si>
    <t>Atabik, dkk</t>
  </si>
  <si>
    <t>978-623-6018-71-2</t>
  </si>
  <si>
    <t>Faktor sosial ekonomi, literasi keuangan syariah dan manajemen keuangan personal : pada dosen perguruan tinggi keagamaan Islam dan dosen perguruan tinggi umum di Indonesia</t>
  </si>
  <si>
    <t>H. Fathul Aminudin Aziz, Hastin Tri Utami, Kartika Wanojaleni</t>
  </si>
  <si>
    <t>978-623-6018-70-5</t>
  </si>
  <si>
    <t>Jejak-jejak pengabdian : langkah kami di masa pandemi</t>
  </si>
  <si>
    <t>Annisa Nur Wafiq Azizah, dkk</t>
  </si>
  <si>
    <t>978-623-6018-69-9</t>
  </si>
  <si>
    <t>Antologi pengembangan masyarakat berbasis kegiatan KKN : esai KKN DR klaster 57</t>
  </si>
  <si>
    <t>Afik Fathur Rohman, dkk</t>
  </si>
  <si>
    <t>978-623-6018-68-2</t>
  </si>
  <si>
    <t>Serpihan asa di kala pandemi</t>
  </si>
  <si>
    <t>Umi Salamah, dkk</t>
  </si>
  <si>
    <t>978-623-6018-67-5</t>
  </si>
  <si>
    <t>Ranjang pengantin : kumpulan cerpen</t>
  </si>
  <si>
    <t>Ade Mulyono</t>
  </si>
  <si>
    <t>978-623-6018-56-9</t>
  </si>
  <si>
    <t>Mahasiswa bisa apa? : partisipasi mahasiswa dalam pembangunan masyarakat desa</t>
  </si>
  <si>
    <t>Faichatul Jannah, dkk</t>
  </si>
  <si>
    <t>978-623-6018-55-2</t>
  </si>
  <si>
    <t>E-business : pemasaran UMKM dengan teknik digital marketing : pengantar belajar</t>
  </si>
  <si>
    <t>R. Bagus Bambang Sumantri</t>
  </si>
  <si>
    <t>978-623-6018-54-5</t>
  </si>
  <si>
    <t>Modul presentasi</t>
  </si>
  <si>
    <t>Nur Muniroh, dkk</t>
  </si>
  <si>
    <t>978-623-6018-53-8</t>
  </si>
  <si>
    <t>Modul rekayasa web</t>
  </si>
  <si>
    <t>978-623-6018-52-1</t>
  </si>
  <si>
    <t>Memoar Kiai Chariri : ulama yang menginspirasi</t>
  </si>
  <si>
    <t>Umi Afifah, H.M. Mudhofi, Enjang Burhanudin Yusuf</t>
  </si>
  <si>
    <t>978-623-6018-51-4</t>
  </si>
  <si>
    <t>Bimbingan dan pengawasan klien pemasyarakatan di masa pandemi covid-19 : studi pada Balai Pemasyarakatan Kelas II Purwokerto</t>
  </si>
  <si>
    <t>Yeri Adi Sulistiawan</t>
  </si>
  <si>
    <t>978-623-6018-50-7</t>
  </si>
  <si>
    <t>Supervisi akademik terhadap kinerja guru rumpun PAI : studi di MTs Al-Azhar Tembongraja Kec. Salem Kab. Brebes</t>
  </si>
  <si>
    <t>Ma’muron</t>
  </si>
  <si>
    <t>978-623-6018-49-1</t>
  </si>
  <si>
    <t>Modul pembelajaran Al-Qur’an ‘tadriji’</t>
  </si>
  <si>
    <t>Tim Markaz Al-Qur’an Pondok Pesantren “Wali Songo” Ngabar</t>
  </si>
  <si>
    <t>978-623-6018-48-4</t>
  </si>
  <si>
    <t>Catatan publikasi madrasah</t>
  </si>
  <si>
    <t>978-623-6018-47-7</t>
  </si>
  <si>
    <t>Modul rekayasa perangkat lunak : Power Designer dan Rational Rose</t>
  </si>
  <si>
    <t>Nur Muniroh</t>
  </si>
  <si>
    <t>978-623-6018-46-0</t>
  </si>
  <si>
    <t>Modul praktikum komputer bisnis Microsoft Word dan Microsoft Excel</t>
  </si>
  <si>
    <t>Dede Yusuf, Nurul Alfiah, Nur Muniroh</t>
  </si>
  <si>
    <t>978-623-6018-45-3</t>
  </si>
  <si>
    <t>Hukum Islam menjawab persoalan kehidupan : 80 persoalan keislaman yang layak diketahui</t>
  </si>
  <si>
    <t>H. Ridwan</t>
  </si>
  <si>
    <t>978-623-6018-44-6</t>
  </si>
  <si>
    <t>Mendidik cara Gus Mie</t>
  </si>
  <si>
    <t>Kholis Muamalah</t>
  </si>
  <si>
    <t>978-623-6018-43-9</t>
  </si>
  <si>
    <t>Konsep mekanika, kinematika, dinamika dan contoh soal dalam fisika SMA/MA kurikulum 2013 revisi</t>
  </si>
  <si>
    <t>Musri</t>
  </si>
  <si>
    <t>978-623-6018-42-2</t>
  </si>
  <si>
    <t>Lika-liku luka lelaki</t>
  </si>
  <si>
    <t>Ahmad Syafi'i</t>
  </si>
  <si>
    <t>978-623-6018-41-5</t>
  </si>
  <si>
    <t>Penilaian HOTS : pembelajaran PAI dan budi pekerti di SD</t>
  </si>
  <si>
    <t>Rohmad &amp; Mauliya Nandra Arif Fani</t>
  </si>
  <si>
    <t>978-623-6018-40-8</t>
  </si>
  <si>
    <t>Dari kampus untuk negeri di tengah pandemi</t>
  </si>
  <si>
    <t>Sarno Hanipudin (editor)</t>
  </si>
  <si>
    <t>978-623-6018-39-2</t>
  </si>
  <si>
    <t>Matematisasi Islam : sebuah pembelajaran integratif dengan pendekatan STEAM</t>
  </si>
  <si>
    <t>Kusno, Ahmad</t>
  </si>
  <si>
    <t>978-623-6018-38-5</t>
  </si>
  <si>
    <t>Pengembangan instrumen penilaian hasil belajar mata pelajaran fiqh di madrasah aliyah</t>
  </si>
  <si>
    <t>Dwi Priyanto</t>
  </si>
  <si>
    <t>978-623-6018-37-8</t>
  </si>
  <si>
    <t>Pendidikan berbasis nilai-nilai profetik di madrasah ibtidaiyah</t>
  </si>
  <si>
    <t>978-623-6018-36-1</t>
  </si>
  <si>
    <t>Merawat kebhinekhaan dari bawah</t>
  </si>
  <si>
    <t>Afianti, dkk</t>
  </si>
  <si>
    <t>978-623-6018-35-4</t>
  </si>
  <si>
    <t>Mahir Inggris dengan 40 mobile apps : untuk belajar mandiri maupun sebagai bahan ajar</t>
  </si>
  <si>
    <t>Muhammad Hasbi</t>
  </si>
  <si>
    <t>978-623-6018-34-7</t>
  </si>
  <si>
    <t>Teori belajar dan implementasinya dalam pembelajaran</t>
  </si>
  <si>
    <t>Novi Mayasari</t>
  </si>
  <si>
    <t>978-623-6018-33-0</t>
  </si>
  <si>
    <t>Psikologi pendidikan : kesulitan belajar anak dan cara mengatasinya</t>
  </si>
  <si>
    <t>978-623-6018-32-3</t>
  </si>
  <si>
    <t>Uswatun khasanah</t>
  </si>
  <si>
    <t>Muhyi Fadlil</t>
  </si>
  <si>
    <t>978-623-6018-31-6</t>
  </si>
  <si>
    <t>Napak tilas : otobiografi Muhyi Kalender – kisah perjalanan dari sekolah ke sekolah berakhir di PKBM Nuju Pinter Cilongok</t>
  </si>
  <si>
    <t>Muhyi Fadlil, Suyanti, Laelatul Qodriyah</t>
  </si>
  <si>
    <t>978-623-6018-30-9</t>
  </si>
  <si>
    <t>Sajak-sajak dari hati : menulis bersama rangkai aksara</t>
  </si>
  <si>
    <t>Lindawati Syamsuri, dkk</t>
  </si>
  <si>
    <t>978-623-6018-29-3</t>
  </si>
  <si>
    <t>Deteksi bakat dan kecerdasan anak berdasarkan kecerdasannya : analisis teori multiple intelligences</t>
  </si>
  <si>
    <t>978-623-6018-28-6</t>
  </si>
  <si>
    <t>Jelajah virtual</t>
  </si>
  <si>
    <t>Komang Dewi Kusuma Wijaya</t>
  </si>
  <si>
    <t>978-623-6018-27-9</t>
  </si>
  <si>
    <t>Bangkit : buku dua tubuh; kutipan dan puisi</t>
  </si>
  <si>
    <t>Nur Khasanah</t>
  </si>
  <si>
    <t>978-623-6018-26-2</t>
  </si>
  <si>
    <t>Catatan perjalanan 20 tahun pusat kegiatan belajar masyarakat Nuju Pinter Cilongok berbasis komputer</t>
  </si>
  <si>
    <t>Muhyi Fadlil, dkk</t>
  </si>
  <si>
    <t>978-623-6018-25-5</t>
  </si>
  <si>
    <t>Kumpulan kutipan motivasi kehidupan : kau boleh jatuh dan itu wajar, tetapi bangkit adalah keharusan</t>
  </si>
  <si>
    <t>Ahmad Fikri</t>
  </si>
  <si>
    <t>978-623-6018-24-8</t>
  </si>
  <si>
    <t>Hujan sajak di Kota Semarang</t>
  </si>
  <si>
    <t>Arif Hidayat</t>
  </si>
  <si>
    <t>978-623-6018-23-1</t>
  </si>
  <si>
    <t>Dekat dengan matematika</t>
  </si>
  <si>
    <t>Ifada Novikasari</t>
  </si>
  <si>
    <t>978-623-6018-22-4</t>
  </si>
  <si>
    <t>The agent’s : “munculnya seseorang dari masa lalu”</t>
  </si>
  <si>
    <t>Tegar Setiadi</t>
  </si>
  <si>
    <t>978-623-6018-21-7</t>
  </si>
  <si>
    <t>Diary santri Covid</t>
  </si>
  <si>
    <t>Anna Aruna</t>
  </si>
  <si>
    <t>978-623-6018-20-0</t>
  </si>
  <si>
    <t>Seruling emas dan burung kecil : kisah-kisah polos yang menarik</t>
  </si>
  <si>
    <t>Siswa SD NU Master Sokaraja</t>
  </si>
  <si>
    <t>978-623-6018-19-4</t>
  </si>
  <si>
    <t>Pantang menyerah maju ke depan</t>
  </si>
  <si>
    <t>Bagas Prakoso</t>
  </si>
  <si>
    <t>978-623-6018-18-7</t>
  </si>
  <si>
    <t>Pembelajaran fiqih di pesantren : berbasis teori konstruktivisme</t>
  </si>
  <si>
    <t>978-623-6018-17-0</t>
  </si>
  <si>
    <t>Pandemi (Bunga Rampai) : meningkatkan peran mahasiswa dalam pengembangan nilai-nilai moderasi beragama dan sosial-budaya di masyarakat pada masa pandemi Covid-19</t>
  </si>
  <si>
    <t>Rida Eka Vianti, dkk</t>
  </si>
  <si>
    <t>978-623-6018-66-8</t>
  </si>
  <si>
    <t>Dedikasi mahasiswa untuk negeri, bersama melawan pandemi : ragam cerita KKN mahasiswa klaster 55 UIN Saifuddin Zuhri</t>
  </si>
  <si>
    <t>Novian Enda Amentariahta, dkk</t>
  </si>
  <si>
    <t>978-623-6018-65-1</t>
  </si>
  <si>
    <t>Moderasi dalam pengabdian kami</t>
  </si>
  <si>
    <t>Dila Fadila, dkk</t>
  </si>
  <si>
    <t>978-623-6018-64-4</t>
  </si>
  <si>
    <t>Sebuah pengabdian : bunga rampai kegiatan KKN DR-48 cluster 2 UIN Saifuddin Zuhri Purwokerto</t>
  </si>
  <si>
    <t>Anugrah Mustika Aji, dkk</t>
  </si>
  <si>
    <t>978-623-6018-63-7</t>
  </si>
  <si>
    <t>Menilik fenomena pengabdian masyarakat di masa pandemi : KKN-MB klaster 58</t>
  </si>
  <si>
    <t>Nanda Jelis Septiana, dkk</t>
  </si>
  <si>
    <t>978-623-6018-62-0</t>
  </si>
  <si>
    <t>Evaluasi pelaksanaan akademik</t>
  </si>
  <si>
    <t>Hartono, Arif Hidayat, Futihat Rizqi Amalia</t>
  </si>
  <si>
    <t>978-623-6018-61-3</t>
  </si>
  <si>
    <t>Risalah cinta Kiai Syamsul</t>
  </si>
  <si>
    <t>Rujito, dkk</t>
  </si>
  <si>
    <t>978-623-6018-60-6</t>
  </si>
  <si>
    <t>Festival puisi ma’arif</t>
  </si>
  <si>
    <t>Fauzi Tasdik, dkk</t>
  </si>
  <si>
    <t>978-623-6018-59-0</t>
  </si>
  <si>
    <t>Gotong royong memutus rantai kekerasan</t>
  </si>
  <si>
    <t>Robertus Sutriyono</t>
  </si>
  <si>
    <t>978-623-6018-58-3</t>
  </si>
  <si>
    <t>A5 (13 x 19,5 cm)</t>
  </si>
  <si>
    <t>Pengabdian Jaisyul Usrah-Nya masa pandemi Covid-19</t>
  </si>
  <si>
    <t>Ananda Nafila Zahra, dkk</t>
  </si>
  <si>
    <t>978-623-6018-57-6</t>
  </si>
  <si>
    <t>Analisis kebijakan PAUD</t>
  </si>
  <si>
    <t>Novan Ardy Wiyani</t>
  </si>
  <si>
    <t>978-623-6018-16-3</t>
  </si>
  <si>
    <t>Arah baru PMII : ideologi, gerakan, quo vadis</t>
  </si>
  <si>
    <t>Anwar Aziz</t>
  </si>
  <si>
    <t>978-623-6018-15-6</t>
  </si>
  <si>
    <t>Olah otak : melatih kemampuan numerasi</t>
  </si>
  <si>
    <t>978-623-6018-14-9</t>
  </si>
  <si>
    <t>A lost belossa</t>
  </si>
  <si>
    <t>Indana Salwa &amp; Maulida Najwa</t>
  </si>
  <si>
    <t>978-623-6018-13-2</t>
  </si>
  <si>
    <t>Pengantar dasar-dasar psikologi agama</t>
  </si>
  <si>
    <t>H. Abdul Khobir</t>
  </si>
  <si>
    <t>978-623-6018-12-5</t>
  </si>
  <si>
    <t>Lentera bangsa</t>
  </si>
  <si>
    <t>Andriansyah</t>
  </si>
  <si>
    <t>978-623-6018-11-8</t>
  </si>
  <si>
    <t>Mata pena</t>
  </si>
  <si>
    <t>978-623-6018-10-1</t>
  </si>
  <si>
    <t>A5 (13 x 19 cm)</t>
  </si>
  <si>
    <t>Skripsweet : manisnya skripsi, kita yang tentukan</t>
  </si>
  <si>
    <t>Afifah Nurlaila &amp; Sri Lasmini</t>
  </si>
  <si>
    <t>978-623-6018-09-5</t>
  </si>
  <si>
    <t>Sebuah buku untuk dirimu yang sedang berulang tahun</t>
  </si>
  <si>
    <t>Danny Putra Febriansyah</t>
  </si>
  <si>
    <t>978-623-6018-08-8</t>
  </si>
  <si>
    <t>Kang Zahid : perjalanan cinta, syariat &amp; spiritual penyuluh agama di kaki Gunung Slamet</t>
  </si>
  <si>
    <t>Itha Rokhyani Haris</t>
  </si>
  <si>
    <t>978-623-6018-07-1</t>
  </si>
  <si>
    <t>Balada kesunyian</t>
  </si>
  <si>
    <t>978-623-6018-06-4</t>
  </si>
  <si>
    <t>Cinta dan seoles mentega : kisah-kisah cinta dalam 5 dan 3 paragraf</t>
  </si>
  <si>
    <t>Sutriyono Robert</t>
  </si>
  <si>
    <t>978-623-6018-05-7</t>
  </si>
  <si>
    <t>Mamake curhat</t>
  </si>
  <si>
    <t>Erna Ubaid, dkk</t>
  </si>
  <si>
    <t>978-623-6018-04-0</t>
  </si>
  <si>
    <t>Wajah asli santri : kumpulan puisi</t>
  </si>
  <si>
    <t>Nasta'in</t>
  </si>
  <si>
    <t>978-623-6018-03-3</t>
  </si>
  <si>
    <t>Wajah baru kerukunan umat beragama masyarakat Indonesia</t>
  </si>
  <si>
    <t>Saifunnajar</t>
  </si>
  <si>
    <t>978-623-6018-02-6</t>
  </si>
  <si>
    <t>Bahasa asing Asia</t>
  </si>
  <si>
    <t>Aditya Khoirussai (editor)</t>
  </si>
  <si>
    <t>978-623-6018-01-9</t>
  </si>
  <si>
    <t>Bahasa asing Eropa</t>
  </si>
  <si>
    <t>Singgih Kuswardono (penyunting)</t>
  </si>
  <si>
    <t>978-623-6018-00-2</t>
  </si>
  <si>
    <t>Kearifan lokal dalam penyelamatan lingkungan hidup : kajian atas budaya masyarakat bengkalis</t>
  </si>
  <si>
    <t>Imam Hakim</t>
  </si>
  <si>
    <t>978-623-7678-99-1</t>
  </si>
  <si>
    <t>Bunga rampai linguistik lintas bahasa : pengantar kajian bahasa Asing, Perancis, Jepang, dan Arab</t>
  </si>
  <si>
    <t>Singgih Kuswardono, Aditya Khoirussai</t>
  </si>
  <si>
    <t>978-623-7678-98-4</t>
  </si>
  <si>
    <t>Memang mengapa?</t>
  </si>
  <si>
    <t>Fiezu Himmah, dkk</t>
  </si>
  <si>
    <t>978-623-7678-97-7</t>
  </si>
  <si>
    <t>Konseling untuk berbagai permasalahan</t>
  </si>
  <si>
    <t>Zaenal Abidin, Alief Budiono</t>
  </si>
  <si>
    <t>978-623-7678-96-0</t>
  </si>
  <si>
    <t>Perkembangan tarekat khalwatiyah</t>
  </si>
  <si>
    <t>H. Saude, Hamka</t>
  </si>
  <si>
    <t>978-623-7678-95-3</t>
  </si>
  <si>
    <t>Ela langkah nabastala</t>
  </si>
  <si>
    <t>Cosmas D. Davitson, dkk</t>
  </si>
  <si>
    <t>978-623-7678-94-6</t>
  </si>
  <si>
    <t>Bertualang untuk kembali pulang : catatan hikmah ayah petualang</t>
  </si>
  <si>
    <t>Mukhamad Kholik</t>
  </si>
  <si>
    <t>978-623-7678-93-9</t>
  </si>
  <si>
    <t>Mengabdi di musim pandemi untuk kuatnya ibu pertiwi</t>
  </si>
  <si>
    <t>Pengabdi Cluster 33 Angkatan 46</t>
  </si>
  <si>
    <t>978-623-7678-92-2</t>
  </si>
  <si>
    <t>Pengembangan bahasa anak usia dini</t>
  </si>
  <si>
    <t>Heru Kurniawan, Kasmiati</t>
  </si>
  <si>
    <t>978-623-7678-91-5</t>
  </si>
  <si>
    <t>Analisis SWOT : konsep dan praktiknya pada bidang bisnis</t>
  </si>
  <si>
    <t>Sulasih</t>
  </si>
  <si>
    <t>978-623-7678-90-8</t>
  </si>
  <si>
    <t>Perjalananku dan dia</t>
  </si>
  <si>
    <t>Lione Putri Misani</t>
  </si>
  <si>
    <t>978-623-7678-89-2</t>
  </si>
  <si>
    <t>Sintaksis Arab : kaidah nahwu</t>
  </si>
  <si>
    <t>Mohamad Yusuf Ahmad Hasyim</t>
  </si>
  <si>
    <t>978-623-7678-88-5</t>
  </si>
  <si>
    <t>Pendidikan di era revolusi industri 4.0</t>
  </si>
  <si>
    <t>Syamsul Huda, dkk</t>
  </si>
  <si>
    <t>978-623-7678-87-8</t>
  </si>
  <si>
    <t>Pembelajaran bercerita</t>
  </si>
  <si>
    <t>Sunardi</t>
  </si>
  <si>
    <t>978-623-7678-86-1</t>
  </si>
  <si>
    <t>Unlimited teacher : catatan perjalanan gurumu yang tak sempurna</t>
  </si>
  <si>
    <t>Epong Utami</t>
  </si>
  <si>
    <t>978-623-7678-85-4</t>
  </si>
  <si>
    <t>Model tazkiyat al-nafs dalam tradisi sufi</t>
  </si>
  <si>
    <t>Suwito</t>
  </si>
  <si>
    <t>978-623-7678-84-7</t>
  </si>
  <si>
    <t>Sistem bunyi dan tulisan Arab</t>
  </si>
  <si>
    <t>Singgih Kuswardono</t>
  </si>
  <si>
    <t>978-623-7678-83-0</t>
  </si>
  <si>
    <t>Pengkajian puisi Perancis</t>
  </si>
  <si>
    <t>Sunahrowi, Suluh Edhi Wibowo</t>
  </si>
  <si>
    <t>978-623-7678-82-3</t>
  </si>
  <si>
    <t>Materi pengkaderan IPNU-IPPNU pimpinan cabang kab. Banyumas</t>
  </si>
  <si>
    <t>Mohammad Luqman, dkk</t>
  </si>
  <si>
    <t>978-623-7678-81-6</t>
  </si>
  <si>
    <t>Secercah harapan di masa Corona : membangun solidaritas di masa pandemi</t>
  </si>
  <si>
    <t>Titik Sudiatmi, dkk</t>
  </si>
  <si>
    <t>978-623-7678-80-9</t>
  </si>
  <si>
    <t>Pengajaran menulis puisi : metode-metode kreatif dalam mengajarkan puisi di sekolah</t>
  </si>
  <si>
    <t>Fiqih Arizni Jannatun N, dkk</t>
  </si>
  <si>
    <t>978-623-7678-79-3</t>
  </si>
  <si>
    <t>Tasbih Ndoro Habib : serta dua huruf yang aku cinta</t>
  </si>
  <si>
    <t>Kang Sakdun, Abdulloh Amir, Wahyu Ceha</t>
  </si>
  <si>
    <t>978-623-7678-78-6</t>
  </si>
  <si>
    <t>Sweven</t>
  </si>
  <si>
    <t>Markeel_j</t>
  </si>
  <si>
    <t>978-623-7678-77-9</t>
  </si>
  <si>
    <t>Sosiologi pendidikan</t>
  </si>
  <si>
    <t>Tutuk Ningsih</t>
  </si>
  <si>
    <t>978-623-7678-76-2</t>
  </si>
  <si>
    <t>Membaca nyaring : praktik baik orang tua membacakan buku pada anak</t>
  </si>
  <si>
    <t>Desty Putry Hanifah, dkk</t>
  </si>
  <si>
    <t>978-623-7678-75-5</t>
  </si>
  <si>
    <t>Membaca nyaring praktik baik orang tua membacakan buku pada anak</t>
  </si>
  <si>
    <t>978-623-7678-74-8</t>
  </si>
  <si>
    <t>Strategi pembelajaran bahasa Arab</t>
  </si>
  <si>
    <t>Kasmiati</t>
  </si>
  <si>
    <t>978-623-7678-73-1</t>
  </si>
  <si>
    <t>Alfiah : catatan sejarah sebelum Indonesia merdeka</t>
  </si>
  <si>
    <t>Abu Hurairah</t>
  </si>
  <si>
    <t>978-623-7678-72-4</t>
  </si>
  <si>
    <t>Teka-teki : kumpulan cerpen</t>
  </si>
  <si>
    <t>Kaylanaya Djatmiko</t>
  </si>
  <si>
    <t>978-623-7678-71-7</t>
  </si>
  <si>
    <t>Hujan dan rindu</t>
  </si>
  <si>
    <t>Iis Dyah Ayuningrum</t>
  </si>
  <si>
    <t>978-623-7678-70-0</t>
  </si>
  <si>
    <t>Se-antara kau dan aku di Yogyakarta</t>
  </si>
  <si>
    <t>Hendrik Efriyadi, dkk</t>
  </si>
  <si>
    <t>978-623-7678-69-4</t>
  </si>
  <si>
    <t>Manajemen boarding school</t>
  </si>
  <si>
    <t>Siti Muflikhah</t>
  </si>
  <si>
    <t>978-623-7678-68-7</t>
  </si>
  <si>
    <t>Strategi peperangan Khalid bin Walid dalam perang Mu’tah dan perang Yarmuk</t>
  </si>
  <si>
    <t>Tazkiyyatur Rohmah</t>
  </si>
  <si>
    <t>978-623-7678-67-0</t>
  </si>
  <si>
    <t>Arah baru pengembangan ulumul Qur’an : konstruksi, rekonstruksi, dan dekonstruksi</t>
  </si>
  <si>
    <t>Munawir</t>
  </si>
  <si>
    <t>978-623-7678-66-3</t>
  </si>
  <si>
    <t>Hayya nata‘alamu al-lughatul al-‘arabiyyatu : mihwarotu al-qira’ah</t>
  </si>
  <si>
    <t>Moh. Hasyim Asy‘ari</t>
  </si>
  <si>
    <t>978-623-7678-65-6</t>
  </si>
  <si>
    <t>Dunia tanpa warna</t>
  </si>
  <si>
    <t>Izza Nadhira, dkk</t>
  </si>
  <si>
    <t>978-623-7678-64-9</t>
  </si>
  <si>
    <t>Ada rawon kalkulator di Surabaya</t>
  </si>
  <si>
    <t>Eunike Ayodhya Hernawan, dkk</t>
  </si>
  <si>
    <t>978-623-7678-63-2 (PDF)</t>
  </si>
  <si>
    <t>Corona membuka mata semesta</t>
  </si>
  <si>
    <t>Sarwiji Suwandi, Abdul Wachid B.S.</t>
  </si>
  <si>
    <t>978-623-7678-62-5</t>
  </si>
  <si>
    <t>C-19</t>
  </si>
  <si>
    <t>Narto Triono, dkk</t>
  </si>
  <si>
    <t>978-623-7678-61-8</t>
  </si>
  <si>
    <t>Goresan tinta bunda : kumpulan pengalaman menarik bunda-bunda hebat selama home learning</t>
  </si>
  <si>
    <t>Sri Rahayu, dkk</t>
  </si>
  <si>
    <t>978-623-7678-60-1</t>
  </si>
  <si>
    <t>Rindu dalam polaroid berdebu</t>
  </si>
  <si>
    <t>Dhiya Ghaitsa R, dkk</t>
  </si>
  <si>
    <t>978-623-7678-58-8</t>
  </si>
  <si>
    <t>Perempuan dalam berbagai profesi dalam membincang buku bacaan anak</t>
  </si>
  <si>
    <t>Cintya Nurika Irma, dkk</t>
  </si>
  <si>
    <t>978-623-7678-59-5 (PDF)</t>
  </si>
  <si>
    <t>Langit yang menyembunyikan mendung</t>
  </si>
  <si>
    <t>Muhibah Muhaemin, dkk</t>
  </si>
  <si>
    <t>978-623-7678-57-1</t>
  </si>
  <si>
    <t>Belajar pada manggaleh</t>
  </si>
  <si>
    <t>Nur Ainun, dkk</t>
  </si>
  <si>
    <t>978-623-7678-55-7</t>
  </si>
  <si>
    <t>Panduan pelaksanaan Kuliah Kerja Nyata-Dari Rumah (KKN-DR) angkatan VI tahun 2020 STAIN Bengkalis</t>
  </si>
  <si>
    <t>978-623-7678-56-4</t>
  </si>
  <si>
    <t>Jadi kasirnya Allah</t>
  </si>
  <si>
    <t>M. Anwar Sani, dkk</t>
  </si>
  <si>
    <t>978-623-7678-54-0</t>
  </si>
  <si>
    <t>Kisah cinta terlarang mas Paijo</t>
  </si>
  <si>
    <t>978-623-7678-53-3</t>
  </si>
  <si>
    <t>Kajian keislaman &amp; peningkatan religiusitas</t>
  </si>
  <si>
    <t>Sholikhatun Hanifia</t>
  </si>
  <si>
    <t>978-623-7678-52-6</t>
  </si>
  <si>
    <t>Lekas sembuh bumiku</t>
  </si>
  <si>
    <t>Annisa Syifa Ramadhani, dkk</t>
  </si>
  <si>
    <t>978-623-7678-50-2</t>
  </si>
  <si>
    <t>Satu pesan untuk negeriku</t>
  </si>
  <si>
    <t>978-623-7678-51-9</t>
  </si>
  <si>
    <t>Ibu, jangan marah, ya!</t>
  </si>
  <si>
    <t>Jayanti, dkk</t>
  </si>
  <si>
    <t>978-623-7678-49-6</t>
  </si>
  <si>
    <t>Agama, politik, dan negara</t>
  </si>
  <si>
    <t>978-623-7678-48-9</t>
  </si>
  <si>
    <t>Semua menutup pintu untuk duka kota</t>
  </si>
  <si>
    <t>Cosmas Davitson, dkk</t>
  </si>
  <si>
    <t>978-623-7678-46-5</t>
  </si>
  <si>
    <t>Pulang : antologi kelir puisi 2</t>
  </si>
  <si>
    <t>Sulis Setiawati, dkk</t>
  </si>
  <si>
    <t>978-623-7678-47-2</t>
  </si>
  <si>
    <t>Covid-19 dan perkembangan fiqh kontemporer</t>
  </si>
  <si>
    <t>978-623-7678-43-4</t>
  </si>
  <si>
    <t>Terima kasih, ayah atas lagu malamnya</t>
  </si>
  <si>
    <t>Sarwito, dkk</t>
  </si>
  <si>
    <t>978-623-7678-45-8</t>
  </si>
  <si>
    <t>Sarapan yang hambar : kumpulan sajak yang berantakan</t>
  </si>
  <si>
    <t>Zain Fauzan Naufal</t>
  </si>
  <si>
    <t>978-623-7678-44-1</t>
  </si>
  <si>
    <t>Peluk hangat adik dan kakak</t>
  </si>
  <si>
    <t>Ariesma Setyarum, dkk</t>
  </si>
  <si>
    <t>978-623-7678-42-7</t>
  </si>
  <si>
    <t>Selamat pagi guruku</t>
  </si>
  <si>
    <t>KKG Gugus Puntadewa Korwilcam Dindik Somagede</t>
  </si>
  <si>
    <t>978-623-7678-40-3</t>
  </si>
  <si>
    <t>Al-fawaid al-muhtaroh : al-muhtawa ‘ala asma’i auliyaillahi wa-awliya’iha fi anwa’i ad-da’awat</t>
  </si>
  <si>
    <t>Nurul Huda</t>
  </si>
  <si>
    <t>978-623-7678-41-0</t>
  </si>
  <si>
    <t>Sistem khilafah : antara rindu dan realita sejarah</t>
  </si>
  <si>
    <t>978-623-7678-39-7</t>
  </si>
  <si>
    <t>Martabak cokelat keju</t>
  </si>
  <si>
    <t>Anggota Mading &amp; Jurnalistik Bimasakti SMA Negeri 5 Purwokerto</t>
  </si>
  <si>
    <t>978-623-7678-38-0</t>
  </si>
  <si>
    <t>Panduan fiqih jenazah lengkap : disertai hadis dan pendapat ulama</t>
  </si>
  <si>
    <t>Rahman dan Imam Ghozali</t>
  </si>
  <si>
    <t>978-623-7678-37-3</t>
  </si>
  <si>
    <t>Hubungan akidah, akhlak, dan tasawuf</t>
  </si>
  <si>
    <t>978-623-7678-36-6</t>
  </si>
  <si>
    <t>Menjadi orang tua hebat : 57 kiat parenting untuk anak usia dini</t>
  </si>
  <si>
    <t>Mahasiswa PIAUD IAIN Syekh Nurjati Cirebon</t>
  </si>
  <si>
    <t>978-623-7678-34-2</t>
  </si>
  <si>
    <t>Ketika mahasiswa melihat Tuhan</t>
  </si>
  <si>
    <t>978-623-7678-35-9</t>
  </si>
  <si>
    <t>Kisah asyik di asrama</t>
  </si>
  <si>
    <t>Siswa-siswi MIN 1 Banyumas</t>
  </si>
  <si>
    <t>978-623-7678-32-8</t>
  </si>
  <si>
    <t>Kipas : karya inovasi puisi pantun dan syair</t>
  </si>
  <si>
    <t>978-623-7678-33-5</t>
  </si>
  <si>
    <t>Inspirasi hidup : belajar dari episode kisah Yusuf dalam tafsir Al-Misbah</t>
  </si>
  <si>
    <t>A. M. Ismatulloh</t>
  </si>
  <si>
    <t>978-623-7678-31-1</t>
  </si>
  <si>
    <t>66 kumpulan dongeng fabel karakter baik</t>
  </si>
  <si>
    <t>978-623-7678-30-4</t>
  </si>
  <si>
    <t>Jejak sandal Selen</t>
  </si>
  <si>
    <t>Siswa-siswi MM Al Hikmah 2</t>
  </si>
  <si>
    <t>978-623-7678-28-1</t>
  </si>
  <si>
    <t>Asal-usul cerita rakyat Jakarta</t>
  </si>
  <si>
    <t>Nur Badriah, dkk</t>
  </si>
  <si>
    <t>978-623-7678-29-8</t>
  </si>
  <si>
    <t>Utopia politik ISIS</t>
  </si>
  <si>
    <t>978-623-7678-27-4</t>
  </si>
  <si>
    <t>Aku bangga jadi santri</t>
  </si>
  <si>
    <t>Alamsyah Hanafiah</t>
  </si>
  <si>
    <t>978-623-7678-26-7</t>
  </si>
  <si>
    <t>Mediasi dan implementasi teknik bimbingan dan konseling pada kasus syikak</t>
  </si>
  <si>
    <t>Kasmiati, Rusli Takunas</t>
  </si>
  <si>
    <t>978-623-7678-24-3</t>
  </si>
  <si>
    <t>Sistem zonasi : dampak kualitas input bagi madrasah ibtidaiyah</t>
  </si>
  <si>
    <t>Ulpah Maspupah</t>
  </si>
  <si>
    <t>978-623-7678-25-0</t>
  </si>
  <si>
    <t>Pengembangan bahan ajar bahasa Inggris berorientasi Higher Order Thinking Skills (HOTS) bagi siswa Madrasah Ibtidaiyah (MI)</t>
  </si>
  <si>
    <t>Siswadi, Yulian Purnama, Riris Eka Setiani</t>
  </si>
  <si>
    <t>978-623-7678-21-2</t>
  </si>
  <si>
    <t>Islam : deradikalisme dan wacana media</t>
  </si>
  <si>
    <t>Muridan, Nurma Ali Ridwan</t>
  </si>
  <si>
    <t>978-623-7678-23-6</t>
  </si>
  <si>
    <t>Percikan-percikan peradaban Islam</t>
  </si>
  <si>
    <t>Deswanda, dkk</t>
  </si>
  <si>
    <t>978-623-7678-22-9</t>
  </si>
  <si>
    <t>Senja di langit Purwokerto : kisah motivasi di sekitar kita</t>
  </si>
  <si>
    <t>Siti Mir'atul Auliya, dkk</t>
  </si>
  <si>
    <t>978-623-7678-19-9</t>
  </si>
  <si>
    <t>Peran good university governance dan komunikasi dalam meningkatkan excellent service dan kepercayaan pelanggan</t>
  </si>
  <si>
    <t>Siti Ma'sumah</t>
  </si>
  <si>
    <t>978-623-7678-17-5</t>
  </si>
  <si>
    <t>UMKM di era baru kewirausahaan</t>
  </si>
  <si>
    <t>H. Fathul Aminudin Aziz, Hastin Tri Utami</t>
  </si>
  <si>
    <t>978-623-7678-20-5</t>
  </si>
  <si>
    <t>Pembelajaran bahasa Arab : studi aplikatif di kampung Arab Kebumen</t>
  </si>
  <si>
    <t>Atabik, M. Slamet Yahya</t>
  </si>
  <si>
    <t>978-623-7678-18-2</t>
  </si>
  <si>
    <t>Pengantar studi Islam</t>
  </si>
  <si>
    <t>Rini Winarsih, dkk</t>
  </si>
  <si>
    <t>978-623-7678-16-8</t>
  </si>
  <si>
    <t>Inspirasi mendidik anak masa kini : mendidik mulai dari anak usia dini hingga remaja – 33 seri parenting pembentuk karakter</t>
  </si>
  <si>
    <t>Budiyanti Anggit, Siti Romdiyah</t>
  </si>
  <si>
    <t>978-623-7678-15-1</t>
  </si>
  <si>
    <t>Pengembangan instrumen evaluasi ranah afektif mata pelajaran akidah akhlak di madrasah tsanawiyah</t>
  </si>
  <si>
    <t>H. Rohmad, Abu Dharin, Donny Khoirul Azis</t>
  </si>
  <si>
    <t>978-623-7678-14-4</t>
  </si>
  <si>
    <t>Balada orang melarat : antologi cerpen dan puisi SMA Negeri 1 Bukateja</t>
  </si>
  <si>
    <t>Areta Shabiha R., dkk</t>
  </si>
  <si>
    <t>978-623-7678-13-7</t>
  </si>
  <si>
    <t>Prinsip-prinsip pemerintahan dalam Islam : kajian kitab Al-Ahkam Al-Sulthaniyah karya Imam Al-Mawardi</t>
  </si>
  <si>
    <t>Ma'sum Ansori</t>
  </si>
  <si>
    <t>978-623-7678-11-3</t>
  </si>
  <si>
    <t>Model dan metode pembelajaran di sekolah yang menyenangkan</t>
  </si>
  <si>
    <t>Isna Arifatun, Galuh Sandra Pangesti</t>
  </si>
  <si>
    <t>978-623-7678-12-0</t>
  </si>
  <si>
    <t>Hadis risalah dan ghairu risalah : telaah pemikiran hadis Al-Dahlawi</t>
  </si>
  <si>
    <t>978-623-7678-10-6</t>
  </si>
  <si>
    <t>Selarik inspirasi perekat ibu pertiwi</t>
  </si>
  <si>
    <t>Samin, dkk</t>
  </si>
  <si>
    <t>978-623-7678-08-3</t>
  </si>
  <si>
    <t>Pembelajaran vertebrata berbasis multiple intelligence</t>
  </si>
  <si>
    <t>Uswatun Sholihah, H. Saefudin, Didik Priyandoko</t>
  </si>
  <si>
    <t>978-623-7678-09-0</t>
  </si>
  <si>
    <t>Ajaran tasawuf Fariduddin Attar</t>
  </si>
  <si>
    <t>Supriyanto</t>
  </si>
  <si>
    <t>978-623-7678-03-8</t>
  </si>
  <si>
    <t>Analisis kebijakan pendidikan Islam anak usia dini</t>
  </si>
  <si>
    <t>Abda Billah Faza Muhammadkan Bastian, dkk</t>
  </si>
  <si>
    <t>978-623-7678-07-6</t>
  </si>
  <si>
    <t>Strategi pembelajaran berbasis multiple intelligences</t>
  </si>
  <si>
    <t>Risdianto Hermawan, dkk</t>
  </si>
  <si>
    <t>978-623-7678-06-9</t>
  </si>
  <si>
    <t>Aku gembira karena berbeda</t>
  </si>
  <si>
    <t>Mayori, dkk</t>
  </si>
  <si>
    <t>978-623-7678-05-2</t>
  </si>
  <si>
    <t>Kuliah kerja literasi : kisah inspiratif di sekitar kita</t>
  </si>
  <si>
    <t>Erni Damayanti, dkk</t>
  </si>
  <si>
    <t>978-623-7678-04-5</t>
  </si>
  <si>
    <t>Pemberdayaan masyarakat dalam pengelolaan PAUD</t>
  </si>
  <si>
    <t>Mahasiswa Kelas 5 PIAUD B</t>
  </si>
  <si>
    <t>978-623-7678-02-1</t>
  </si>
  <si>
    <t>Metode pengembangan daya pikir dan kreativitas anak usia dini</t>
  </si>
  <si>
    <t>Mahasiswa Kelas 5 PIAUD A</t>
  </si>
  <si>
    <t>978-623-7678-01-4</t>
  </si>
  <si>
    <t>Pelatihan membaca Al-Qur’an secara progresif dengan metode yanbu’a di Kelurahan Pabuwaran Kecamatan Purwokerto Utara</t>
  </si>
  <si>
    <t>A.M. Ismatulloh, Laily Liddini</t>
  </si>
  <si>
    <t>978-623-7678-00-7</t>
  </si>
  <si>
    <t>Artisan dari kejawar</t>
  </si>
  <si>
    <t>Nasirun</t>
  </si>
  <si>
    <t>978-623-91755-7-3</t>
  </si>
  <si>
    <t>Budaya religius sekolah dan transformasi keberagamaan siswa SMA</t>
  </si>
  <si>
    <t>Kholid Mawardi, Novi Mulyani</t>
  </si>
  <si>
    <t>978-623-91755-9-7</t>
  </si>
  <si>
    <t>Format ideal deradikalisasi agama di perguruan tinggi keagamaan Islam negeri</t>
  </si>
  <si>
    <t>Supriyanto, Agus Sunaryo, Mawi Khusni Albar</t>
  </si>
  <si>
    <t>978-623-91755-8-0</t>
  </si>
  <si>
    <t>Asyiknya belajar &amp; mengajar matematika untuk anak</t>
  </si>
  <si>
    <t>Abdaul Unsha Amanah, dkk</t>
  </si>
  <si>
    <t>978-623-91755-5-9</t>
  </si>
  <si>
    <t>Konsep syari’ah dan fiqh dalam kajian epistemologi hukum Islam</t>
  </si>
  <si>
    <t>978-623-91755-6-6</t>
  </si>
  <si>
    <t>Sistem pembelajaran pendidikan agama Islam berbasis pesantren</t>
  </si>
  <si>
    <t>Sudadi</t>
  </si>
  <si>
    <t>978-623-91755-3-5</t>
  </si>
  <si>
    <t>Panduan pelaksanaan praktik kerja lapangan Fakultas Bahasa dan Seni Universitas Negeri Semarang</t>
  </si>
  <si>
    <t>Fatma Hetami, dkk</t>
  </si>
  <si>
    <t>978-623-91755-4-2</t>
  </si>
  <si>
    <t>Studi keruangan &amp; sistem sosial</t>
  </si>
  <si>
    <t>Ine Kusuma Aryani &amp; Tim Mahasiswa S2 PD UM Purwokerto</t>
  </si>
  <si>
    <t>978-623-91755-2-8</t>
  </si>
  <si>
    <t>Semiotika Roland Barthes</t>
  </si>
  <si>
    <t>978-623-91755-0-4</t>
  </si>
  <si>
    <t>Tradisi nahwu dalam tinjauan linguistik pengantar sintaksis Arab</t>
  </si>
  <si>
    <t>978-623-91425-9-9</t>
  </si>
  <si>
    <t>Senandung cinta Ifa</t>
  </si>
  <si>
    <t>978-623-91425-8-2</t>
  </si>
  <si>
    <t>Al-Qur’an dan fenomena tindak tutur lokusi, ilokusi, perlokusi</t>
  </si>
  <si>
    <t>Zeim Elmubarok, Siti Faroah</t>
  </si>
  <si>
    <t>978-623-91425-7-5</t>
  </si>
  <si>
    <t>Kisah sedih buku tak bersampul : 20+ dongeng motivasi &amp; karakter anak</t>
  </si>
  <si>
    <t>Heru Kurniawan</t>
  </si>
  <si>
    <t>978-623-91755-1-1</t>
  </si>
  <si>
    <t>Ilmu shorof unggulan fi bayani tashrif wal i’rob</t>
  </si>
  <si>
    <t>Hamim Al-Mahbub</t>
  </si>
  <si>
    <t>978-623-91425-6-8</t>
  </si>
  <si>
    <t>Pulau buku di negeri api</t>
  </si>
  <si>
    <t>Dewi Sukmawati, dkk</t>
  </si>
  <si>
    <t>978-623-91425-5-1</t>
  </si>
  <si>
    <t>Ada rindu di langit</t>
  </si>
  <si>
    <t>Faiza Aulia</t>
  </si>
  <si>
    <t>978-623-91425-3-7</t>
  </si>
  <si>
    <t>Ada cinta di bumi</t>
  </si>
  <si>
    <t>Fadhil Alifiyan</t>
  </si>
  <si>
    <t>978-623-91425-4-4</t>
  </si>
  <si>
    <t>Kumpulan cara analisis data : beserta contoh judul dan hipotesis penelitian</t>
  </si>
  <si>
    <t>978-623-91425-2-0</t>
  </si>
  <si>
    <t>Desain kualitas pendidikan anak dalam keluarga</t>
  </si>
  <si>
    <t>Annisa Alfiah Devianti, dkk</t>
  </si>
  <si>
    <t>978-623-91425-1-3</t>
  </si>
  <si>
    <t>Pendidikan karakter berbasis komunikasi edukatif religius (KER) di madrasah ibtidaiyah</t>
  </si>
  <si>
    <t>Abu Dharin</t>
  </si>
  <si>
    <t>978-623-91425-0-6</t>
  </si>
  <si>
    <t>Cinta pandangan pertama</t>
  </si>
  <si>
    <t>Rachmawati Ash</t>
  </si>
  <si>
    <t>978-623-90846-9-1</t>
  </si>
  <si>
    <t>Ilmu budaya dari strukturalisme budaya sampai orientalisme kontemporer</t>
  </si>
  <si>
    <t>Anastasia Pudjutriherwanti, dkk</t>
  </si>
  <si>
    <t>978-623-90846-8-4</t>
  </si>
  <si>
    <t>Interupsi! : mahasiswa menyoal Indonesia</t>
  </si>
  <si>
    <t>Annisa Wiyugo, dkk</t>
  </si>
  <si>
    <t>978-623-90846-7-7</t>
  </si>
  <si>
    <t>Penelitian tindakan kelas : petunjuk praktis untuk guru disertai contoh proposal</t>
  </si>
  <si>
    <t>Ine Kusuma Aryani, Beny Wijarnako</t>
  </si>
  <si>
    <t>978-623-90846-6-0</t>
  </si>
  <si>
    <t>Sistem pernapasan dan peredaran darah manusia</t>
  </si>
  <si>
    <t>Arifin Nur Hayadi</t>
  </si>
  <si>
    <t>978-623-90846-5-3</t>
  </si>
  <si>
    <t>Indonesia dalam sejarah dari masa pra-aksara hingga reformasi</t>
  </si>
  <si>
    <t>Tri Anitawati</t>
  </si>
  <si>
    <t>978-623-90846-4-6</t>
  </si>
  <si>
    <t>Literasi anak usia dini : meningkatkan dan mengembangkan budaya membaca, keterampilan menulis, dan kemampuan berpikir anak-anak</t>
  </si>
  <si>
    <t>Marwany, Heru Kurniawan</t>
  </si>
  <si>
    <t>978-623-90846-3-9</t>
  </si>
  <si>
    <t>Kumpulan media pembelajaran SD/MI</t>
  </si>
  <si>
    <t>Annisa Salma, dkk</t>
  </si>
  <si>
    <t>978-623-90846-2-2</t>
  </si>
  <si>
    <t>Belajar dan bermain bersama Malika (media belajar inovatif, kreatif dan asyik) untuk SD/MI</t>
  </si>
  <si>
    <t>Afifi Rahma Khaerani, dkk</t>
  </si>
  <si>
    <t>978-623-90846-1-5</t>
  </si>
  <si>
    <t>Edelweis : menulis cerita pendek dan kumpulan cerita pendek</t>
  </si>
  <si>
    <t>Trimahaningsih, Trims Creative</t>
  </si>
  <si>
    <t>978-623-90846-0-8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</si>
</sst>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7">
    <font>
      <sz val="10.0"/>
      <color rgb="FF000000"/>
      <name val="Arial"/>
      <scheme val="minor"/>
    </font>
    <font>
      <sz val="36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/>
    <font>
      <sz val="10.0"/>
      <color rgb="FF3A3A3A"/>
      <name val="Arial"/>
      <scheme val="minor"/>
    </font>
    <font>
      <sz val="10.0"/>
      <color rgb="FF071437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0" fontId="3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Border="1" applyFont="1"/>
    <xf borderId="5" fillId="0" fontId="3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2" fontId="0" numFmtId="0" xfId="0" applyAlignment="1" applyBorder="1" applyFill="1" applyFont="1">
      <alignment readingOrder="0" shrinkToFit="0" vertical="center" wrapText="1"/>
    </xf>
    <xf borderId="5" fillId="2" fontId="5" numFmtId="0" xfId="0" applyAlignment="1" applyBorder="1" applyFont="1">
      <alignment readingOrder="0" shrinkToFit="0" vertical="center" wrapText="1"/>
    </xf>
    <xf borderId="5" fillId="2" fontId="6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164" xfId="0" applyAlignment="1" applyBorder="1" applyFont="1" applyNumberForma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wrapText="1"/>
    </xf>
    <xf borderId="5" fillId="2" fontId="0" numFmtId="0" xfId="0" applyAlignment="1" applyBorder="1" applyFont="1">
      <alignment readingOrder="0" shrinkToFit="0" wrapText="1"/>
    </xf>
    <xf borderId="5" fillId="2" fontId="5" numFmtId="0" xfId="0" applyAlignment="1" applyBorder="1" applyFont="1">
      <alignment readingOrder="0" shrinkToFit="0" wrapText="1"/>
    </xf>
    <xf borderId="5" fillId="2" fontId="6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5" fillId="0" fontId="2" numFmtId="164" xfId="0" applyAlignment="1" applyBorder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5.0"/>
    <col customWidth="1" min="2" max="2" width="55.0"/>
    <col customWidth="1" min="3" max="3" width="33.63"/>
    <col customWidth="1" min="4" max="4" width="16.25"/>
    <col customWidth="1" min="5" max="5" width="7.13"/>
    <col customWidth="1" min="6" max="7" width="11.25"/>
    <col customWidth="1" min="8" max="8" width="12.75"/>
    <col customWidth="1" min="10" max="10" width="6.0"/>
    <col customWidth="1" min="11" max="11" width="6.88"/>
    <col customWidth="1" min="12" max="12" width="9.5"/>
    <col customWidth="1" min="13" max="13" width="9.25"/>
    <col customWidth="1" min="14" max="14" width="10.75"/>
  </cols>
  <sheetData>
    <row r="1" ht="31.5" customHeight="1">
      <c r="B1" s="1"/>
      <c r="C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1"/>
      <c r="B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/>
      <c r="L3" s="4" t="s">
        <v>11</v>
      </c>
      <c r="M3" s="5"/>
      <c r="N3" s="3" t="s">
        <v>12</v>
      </c>
      <c r="O3" s="6" t="s">
        <v>13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7"/>
      <c r="B4" s="7"/>
      <c r="C4" s="7"/>
      <c r="D4" s="7"/>
      <c r="E4" s="7"/>
      <c r="F4" s="7"/>
      <c r="G4" s="7"/>
      <c r="H4" s="7"/>
      <c r="I4" s="7"/>
      <c r="J4" s="8" t="s">
        <v>14</v>
      </c>
      <c r="K4" s="8" t="s">
        <v>15</v>
      </c>
      <c r="L4" s="8" t="s">
        <v>15</v>
      </c>
      <c r="M4" s="8" t="s">
        <v>14</v>
      </c>
      <c r="N4" s="7"/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0.5" customHeight="1">
      <c r="A5" s="9">
        <f t="array" ref="A5:A431">SEQUENCE(counta(B:B)-1,1)</f>
        <v>1</v>
      </c>
      <c r="B5" s="10" t="s">
        <v>16</v>
      </c>
      <c r="C5" s="11" t="s">
        <v>17</v>
      </c>
      <c r="D5" s="12" t="s">
        <v>18</v>
      </c>
      <c r="E5" s="12">
        <v>2026.0</v>
      </c>
      <c r="F5" s="13" t="s">
        <v>19</v>
      </c>
      <c r="G5" s="9"/>
      <c r="H5" s="11" t="s">
        <v>20</v>
      </c>
      <c r="I5" s="9"/>
      <c r="J5" s="9" t="s">
        <v>21</v>
      </c>
      <c r="K5" s="9" t="s">
        <v>22</v>
      </c>
      <c r="L5" s="11" t="s">
        <v>23</v>
      </c>
      <c r="M5" s="11" t="s">
        <v>24</v>
      </c>
      <c r="N5" s="9" t="s">
        <v>25</v>
      </c>
      <c r="O5" s="14">
        <f t="shared" ref="O5:O167" si="1">IFS(H5="A5",((I5*150)+5000),H5="B5",((I5*200)+8000),H5="UNESCO",((I5*180)+8000),TRUE,0)</f>
        <v>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9">
        <v>2.0</v>
      </c>
      <c r="B6" s="10" t="s">
        <v>26</v>
      </c>
      <c r="C6" s="11" t="s">
        <v>27</v>
      </c>
      <c r="D6" s="12" t="s">
        <v>28</v>
      </c>
      <c r="E6" s="12">
        <v>2025.0</v>
      </c>
      <c r="F6" s="13" t="s">
        <v>19</v>
      </c>
      <c r="G6" s="9"/>
      <c r="H6" s="11" t="s">
        <v>20</v>
      </c>
      <c r="I6" s="15"/>
      <c r="J6" s="9" t="s">
        <v>21</v>
      </c>
      <c r="K6" s="9" t="s">
        <v>22</v>
      </c>
      <c r="L6" s="11" t="s">
        <v>23</v>
      </c>
      <c r="M6" s="11" t="s">
        <v>24</v>
      </c>
      <c r="N6" s="9" t="s">
        <v>25</v>
      </c>
      <c r="O6" s="14">
        <f t="shared" si="1"/>
        <v>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15">
        <v>3.0</v>
      </c>
      <c r="B7" s="10" t="s">
        <v>29</v>
      </c>
      <c r="C7" s="11" t="s">
        <v>30</v>
      </c>
      <c r="D7" s="12" t="s">
        <v>31</v>
      </c>
      <c r="E7" s="12">
        <v>2026.0</v>
      </c>
      <c r="F7" s="13" t="s">
        <v>19</v>
      </c>
      <c r="G7" s="9"/>
      <c r="H7" s="11" t="s">
        <v>20</v>
      </c>
      <c r="I7" s="15"/>
      <c r="J7" s="9" t="s">
        <v>21</v>
      </c>
      <c r="K7" s="9" t="s">
        <v>22</v>
      </c>
      <c r="L7" s="11" t="s">
        <v>23</v>
      </c>
      <c r="M7" s="11" t="s">
        <v>24</v>
      </c>
      <c r="N7" s="9" t="s">
        <v>25</v>
      </c>
      <c r="O7" s="14">
        <f t="shared" si="1"/>
        <v>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15">
        <v>4.0</v>
      </c>
      <c r="B8" s="10" t="s">
        <v>32</v>
      </c>
      <c r="C8" s="11" t="s">
        <v>33</v>
      </c>
      <c r="D8" s="12" t="s">
        <v>34</v>
      </c>
      <c r="E8" s="12">
        <v>2026.0</v>
      </c>
      <c r="F8" s="13" t="s">
        <v>19</v>
      </c>
      <c r="G8" s="9"/>
      <c r="H8" s="11" t="s">
        <v>20</v>
      </c>
      <c r="I8" s="15"/>
      <c r="J8" s="9" t="s">
        <v>21</v>
      </c>
      <c r="K8" s="9" t="s">
        <v>22</v>
      </c>
      <c r="L8" s="11" t="s">
        <v>23</v>
      </c>
      <c r="M8" s="11" t="s">
        <v>24</v>
      </c>
      <c r="N8" s="9" t="s">
        <v>25</v>
      </c>
      <c r="O8" s="14">
        <f t="shared" si="1"/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15">
        <v>5.0</v>
      </c>
      <c r="B9" s="10" t="s">
        <v>35</v>
      </c>
      <c r="C9" s="11" t="s">
        <v>36</v>
      </c>
      <c r="D9" s="12" t="s">
        <v>37</v>
      </c>
      <c r="E9" s="12">
        <v>2026.0</v>
      </c>
      <c r="F9" s="13" t="s">
        <v>19</v>
      </c>
      <c r="G9" s="9"/>
      <c r="H9" s="11" t="s">
        <v>20</v>
      </c>
      <c r="I9" s="15"/>
      <c r="J9" s="9" t="s">
        <v>21</v>
      </c>
      <c r="K9" s="9" t="s">
        <v>22</v>
      </c>
      <c r="L9" s="11" t="s">
        <v>23</v>
      </c>
      <c r="M9" s="11" t="s">
        <v>24</v>
      </c>
      <c r="N9" s="9" t="s">
        <v>25</v>
      </c>
      <c r="O9" s="14">
        <f t="shared" si="1"/>
        <v>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1.5" customHeight="1">
      <c r="A10" s="15">
        <v>6.0</v>
      </c>
      <c r="B10" s="10" t="s">
        <v>38</v>
      </c>
      <c r="C10" s="11" t="s">
        <v>39</v>
      </c>
      <c r="D10" s="12" t="s">
        <v>40</v>
      </c>
      <c r="E10" s="12">
        <v>2025.0</v>
      </c>
      <c r="F10" s="13" t="s">
        <v>19</v>
      </c>
      <c r="G10" s="9"/>
      <c r="H10" s="11" t="s">
        <v>20</v>
      </c>
      <c r="I10" s="15"/>
      <c r="J10" s="9" t="s">
        <v>21</v>
      </c>
      <c r="K10" s="9" t="s">
        <v>22</v>
      </c>
      <c r="L10" s="11" t="s">
        <v>23</v>
      </c>
      <c r="M10" s="11" t="s">
        <v>24</v>
      </c>
      <c r="N10" s="9" t="s">
        <v>25</v>
      </c>
      <c r="O10" s="14">
        <f t="shared" si="1"/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1.5" customHeight="1">
      <c r="A11" s="15">
        <v>7.0</v>
      </c>
      <c r="B11" s="10" t="s">
        <v>41</v>
      </c>
      <c r="C11" s="11" t="s">
        <v>42</v>
      </c>
      <c r="D11" s="12" t="s">
        <v>43</v>
      </c>
      <c r="E11" s="12">
        <v>2025.0</v>
      </c>
      <c r="F11" s="13" t="s">
        <v>19</v>
      </c>
      <c r="G11" s="9"/>
      <c r="H11" s="11" t="s">
        <v>20</v>
      </c>
      <c r="I11" s="15"/>
      <c r="J11" s="9" t="s">
        <v>21</v>
      </c>
      <c r="K11" s="9" t="s">
        <v>22</v>
      </c>
      <c r="L11" s="11" t="s">
        <v>23</v>
      </c>
      <c r="M11" s="11" t="s">
        <v>24</v>
      </c>
      <c r="N11" s="9" t="s">
        <v>25</v>
      </c>
      <c r="O11" s="14">
        <f t="shared" si="1"/>
        <v>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1.5" customHeight="1">
      <c r="A12" s="15">
        <v>8.0</v>
      </c>
      <c r="B12" s="10" t="s">
        <v>44</v>
      </c>
      <c r="C12" s="11" t="s">
        <v>45</v>
      </c>
      <c r="D12" s="12" t="s">
        <v>46</v>
      </c>
      <c r="E12" s="12">
        <v>2025.0</v>
      </c>
      <c r="F12" s="13" t="s">
        <v>19</v>
      </c>
      <c r="G12" s="9"/>
      <c r="H12" s="11" t="s">
        <v>20</v>
      </c>
      <c r="I12" s="15"/>
      <c r="J12" s="9" t="s">
        <v>21</v>
      </c>
      <c r="K12" s="9" t="s">
        <v>22</v>
      </c>
      <c r="L12" s="11" t="s">
        <v>23</v>
      </c>
      <c r="M12" s="11" t="s">
        <v>24</v>
      </c>
      <c r="N12" s="9" t="s">
        <v>25</v>
      </c>
      <c r="O12" s="14">
        <f t="shared" si="1"/>
        <v>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>
      <c r="A13" s="15">
        <v>9.0</v>
      </c>
      <c r="B13" s="10" t="s">
        <v>47</v>
      </c>
      <c r="C13" s="11" t="s">
        <v>48</v>
      </c>
      <c r="D13" s="12" t="s">
        <v>49</v>
      </c>
      <c r="E13" s="12">
        <v>2025.0</v>
      </c>
      <c r="F13" s="13" t="s">
        <v>19</v>
      </c>
      <c r="G13" s="9"/>
      <c r="H13" s="11" t="s">
        <v>20</v>
      </c>
      <c r="I13" s="15"/>
      <c r="J13" s="9" t="s">
        <v>21</v>
      </c>
      <c r="K13" s="9" t="s">
        <v>22</v>
      </c>
      <c r="L13" s="11" t="s">
        <v>23</v>
      </c>
      <c r="M13" s="11" t="s">
        <v>24</v>
      </c>
      <c r="N13" s="9" t="s">
        <v>25</v>
      </c>
      <c r="O13" s="14">
        <f t="shared" si="1"/>
        <v>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1.5" customHeight="1">
      <c r="A14" s="15">
        <v>10.0</v>
      </c>
      <c r="B14" s="10" t="s">
        <v>50</v>
      </c>
      <c r="C14" s="11" t="s">
        <v>51</v>
      </c>
      <c r="D14" s="12" t="s">
        <v>52</v>
      </c>
      <c r="E14" s="12">
        <v>2025.0</v>
      </c>
      <c r="F14" s="13" t="s">
        <v>19</v>
      </c>
      <c r="G14" s="9"/>
      <c r="H14" s="11" t="s">
        <v>20</v>
      </c>
      <c r="I14" s="15"/>
      <c r="J14" s="9" t="s">
        <v>21</v>
      </c>
      <c r="K14" s="9" t="s">
        <v>22</v>
      </c>
      <c r="L14" s="11" t="s">
        <v>23</v>
      </c>
      <c r="M14" s="11" t="s">
        <v>24</v>
      </c>
      <c r="N14" s="9" t="s">
        <v>25</v>
      </c>
      <c r="O14" s="14">
        <f t="shared" si="1"/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1.5" customHeight="1">
      <c r="A15" s="15">
        <v>11.0</v>
      </c>
      <c r="B15" s="10" t="s">
        <v>53</v>
      </c>
      <c r="C15" s="11" t="s">
        <v>54</v>
      </c>
      <c r="D15" s="12" t="s">
        <v>55</v>
      </c>
      <c r="E15" s="12">
        <v>2025.0</v>
      </c>
      <c r="F15" s="13" t="s">
        <v>19</v>
      </c>
      <c r="G15" s="9"/>
      <c r="H15" s="11" t="s">
        <v>20</v>
      </c>
      <c r="I15" s="15"/>
      <c r="J15" s="9" t="s">
        <v>21</v>
      </c>
      <c r="K15" s="9" t="s">
        <v>22</v>
      </c>
      <c r="L15" s="11" t="s">
        <v>23</v>
      </c>
      <c r="M15" s="11" t="s">
        <v>24</v>
      </c>
      <c r="N15" s="9" t="s">
        <v>25</v>
      </c>
      <c r="O15" s="14">
        <f t="shared" si="1"/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1.5" customHeight="1">
      <c r="A16" s="15">
        <v>12.0</v>
      </c>
      <c r="B16" s="10" t="s">
        <v>56</v>
      </c>
      <c r="C16" s="11" t="s">
        <v>57</v>
      </c>
      <c r="D16" s="12" t="s">
        <v>58</v>
      </c>
      <c r="E16" s="12">
        <v>2025.0</v>
      </c>
      <c r="F16" s="13" t="s">
        <v>19</v>
      </c>
      <c r="G16" s="9"/>
      <c r="H16" s="11" t="s">
        <v>20</v>
      </c>
      <c r="I16" s="15"/>
      <c r="J16" s="9" t="s">
        <v>21</v>
      </c>
      <c r="K16" s="9" t="s">
        <v>22</v>
      </c>
      <c r="L16" s="11" t="s">
        <v>23</v>
      </c>
      <c r="M16" s="11" t="s">
        <v>24</v>
      </c>
      <c r="N16" s="9" t="s">
        <v>25</v>
      </c>
      <c r="O16" s="14">
        <f t="shared" si="1"/>
        <v>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1.5" customHeight="1">
      <c r="A17" s="15">
        <v>13.0</v>
      </c>
      <c r="B17" s="10" t="s">
        <v>59</v>
      </c>
      <c r="C17" s="11" t="s">
        <v>60</v>
      </c>
      <c r="D17" s="12" t="s">
        <v>61</v>
      </c>
      <c r="E17" s="12">
        <v>2025.0</v>
      </c>
      <c r="F17" s="13" t="s">
        <v>19</v>
      </c>
      <c r="G17" s="9"/>
      <c r="H17" s="11" t="s">
        <v>20</v>
      </c>
      <c r="I17" s="15"/>
      <c r="J17" s="9" t="s">
        <v>21</v>
      </c>
      <c r="K17" s="9" t="s">
        <v>22</v>
      </c>
      <c r="L17" s="11" t="s">
        <v>23</v>
      </c>
      <c r="M17" s="11" t="s">
        <v>24</v>
      </c>
      <c r="N17" s="9" t="s">
        <v>25</v>
      </c>
      <c r="O17" s="14">
        <f t="shared" si="1"/>
        <v>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1.5" customHeight="1">
      <c r="A18" s="15">
        <v>14.0</v>
      </c>
      <c r="B18" s="10" t="s">
        <v>62</v>
      </c>
      <c r="C18" s="11" t="s">
        <v>63</v>
      </c>
      <c r="D18" s="12" t="s">
        <v>64</v>
      </c>
      <c r="E18" s="12">
        <v>2025.0</v>
      </c>
      <c r="F18" s="13" t="s">
        <v>19</v>
      </c>
      <c r="G18" s="9"/>
      <c r="H18" s="11" t="s">
        <v>20</v>
      </c>
      <c r="I18" s="15"/>
      <c r="J18" s="9" t="s">
        <v>21</v>
      </c>
      <c r="K18" s="9" t="s">
        <v>22</v>
      </c>
      <c r="L18" s="11" t="s">
        <v>23</v>
      </c>
      <c r="M18" s="11" t="s">
        <v>24</v>
      </c>
      <c r="N18" s="9" t="s">
        <v>25</v>
      </c>
      <c r="O18" s="14">
        <f t="shared" si="1"/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1.5" customHeight="1">
      <c r="A19" s="15">
        <v>15.0</v>
      </c>
      <c r="B19" s="10" t="s">
        <v>65</v>
      </c>
      <c r="C19" s="11" t="s">
        <v>66</v>
      </c>
      <c r="D19" s="12" t="s">
        <v>67</v>
      </c>
      <c r="E19" s="12">
        <v>2025.0</v>
      </c>
      <c r="F19" s="13" t="s">
        <v>19</v>
      </c>
      <c r="G19" s="9"/>
      <c r="H19" s="11" t="s">
        <v>20</v>
      </c>
      <c r="I19" s="15"/>
      <c r="J19" s="9" t="s">
        <v>21</v>
      </c>
      <c r="K19" s="9" t="s">
        <v>22</v>
      </c>
      <c r="L19" s="11" t="s">
        <v>23</v>
      </c>
      <c r="M19" s="11" t="s">
        <v>24</v>
      </c>
      <c r="N19" s="9" t="s">
        <v>25</v>
      </c>
      <c r="O19" s="14">
        <f t="shared" si="1"/>
        <v>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1.5" customHeight="1">
      <c r="A20" s="15">
        <v>16.0</v>
      </c>
      <c r="B20" s="10" t="s">
        <v>68</v>
      </c>
      <c r="C20" s="11" t="s">
        <v>69</v>
      </c>
      <c r="D20" s="12" t="s">
        <v>70</v>
      </c>
      <c r="E20" s="12">
        <v>2025.0</v>
      </c>
      <c r="F20" s="13" t="s">
        <v>19</v>
      </c>
      <c r="G20" s="9"/>
      <c r="H20" s="11" t="s">
        <v>20</v>
      </c>
      <c r="I20" s="15"/>
      <c r="J20" s="9" t="s">
        <v>21</v>
      </c>
      <c r="K20" s="9" t="s">
        <v>22</v>
      </c>
      <c r="L20" s="11" t="s">
        <v>23</v>
      </c>
      <c r="M20" s="11" t="s">
        <v>24</v>
      </c>
      <c r="N20" s="9" t="s">
        <v>25</v>
      </c>
      <c r="O20" s="14">
        <f t="shared" si="1"/>
        <v>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1.5" customHeight="1">
      <c r="A21" s="15">
        <v>17.0</v>
      </c>
      <c r="B21" s="10" t="s">
        <v>71</v>
      </c>
      <c r="C21" s="11" t="s">
        <v>72</v>
      </c>
      <c r="D21" s="12" t="s">
        <v>73</v>
      </c>
      <c r="E21" s="12">
        <v>2025.0</v>
      </c>
      <c r="F21" s="13" t="s">
        <v>19</v>
      </c>
      <c r="G21" s="9"/>
      <c r="H21" s="11" t="s">
        <v>20</v>
      </c>
      <c r="I21" s="15"/>
      <c r="J21" s="9" t="s">
        <v>21</v>
      </c>
      <c r="K21" s="9" t="s">
        <v>22</v>
      </c>
      <c r="L21" s="11" t="s">
        <v>23</v>
      </c>
      <c r="M21" s="11" t="s">
        <v>24</v>
      </c>
      <c r="N21" s="9" t="s">
        <v>25</v>
      </c>
      <c r="O21" s="14">
        <f t="shared" si="1"/>
        <v>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1.5" customHeight="1">
      <c r="A22" s="15">
        <v>18.0</v>
      </c>
      <c r="B22" s="10" t="s">
        <v>74</v>
      </c>
      <c r="C22" s="11" t="s">
        <v>75</v>
      </c>
      <c r="D22" s="12" t="s">
        <v>76</v>
      </c>
      <c r="E22" s="12">
        <v>2025.0</v>
      </c>
      <c r="F22" s="13" t="s">
        <v>19</v>
      </c>
      <c r="G22" s="9"/>
      <c r="H22" s="11" t="s">
        <v>20</v>
      </c>
      <c r="I22" s="15"/>
      <c r="J22" s="9" t="s">
        <v>21</v>
      </c>
      <c r="K22" s="9" t="s">
        <v>22</v>
      </c>
      <c r="L22" s="11" t="s">
        <v>23</v>
      </c>
      <c r="M22" s="11" t="s">
        <v>24</v>
      </c>
      <c r="N22" s="9" t="s">
        <v>25</v>
      </c>
      <c r="O22" s="14">
        <f t="shared" si="1"/>
        <v>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1.5" customHeight="1">
      <c r="A23" s="15">
        <v>19.0</v>
      </c>
      <c r="B23" s="10" t="s">
        <v>77</v>
      </c>
      <c r="C23" s="11" t="s">
        <v>78</v>
      </c>
      <c r="D23" s="12" t="s">
        <v>79</v>
      </c>
      <c r="E23" s="12">
        <v>2025.0</v>
      </c>
      <c r="F23" s="13" t="s">
        <v>19</v>
      </c>
      <c r="G23" s="9"/>
      <c r="H23" s="11" t="s">
        <v>20</v>
      </c>
      <c r="I23" s="15"/>
      <c r="J23" s="9" t="s">
        <v>21</v>
      </c>
      <c r="K23" s="9" t="s">
        <v>22</v>
      </c>
      <c r="L23" s="11" t="s">
        <v>23</v>
      </c>
      <c r="M23" s="11" t="s">
        <v>24</v>
      </c>
      <c r="N23" s="9" t="s">
        <v>25</v>
      </c>
      <c r="O23" s="14">
        <f t="shared" si="1"/>
        <v>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1.5" customHeight="1">
      <c r="A24" s="15">
        <v>20.0</v>
      </c>
      <c r="B24" s="10" t="s">
        <v>80</v>
      </c>
      <c r="C24" s="11" t="s">
        <v>81</v>
      </c>
      <c r="D24" s="12" t="s">
        <v>82</v>
      </c>
      <c r="E24" s="12">
        <v>2025.0</v>
      </c>
      <c r="F24" s="13" t="s">
        <v>19</v>
      </c>
      <c r="G24" s="9"/>
      <c r="H24" s="11" t="s">
        <v>20</v>
      </c>
      <c r="I24" s="15"/>
      <c r="J24" s="9" t="s">
        <v>21</v>
      </c>
      <c r="K24" s="9" t="s">
        <v>22</v>
      </c>
      <c r="L24" s="11" t="s">
        <v>23</v>
      </c>
      <c r="M24" s="11" t="s">
        <v>24</v>
      </c>
      <c r="N24" s="9" t="s">
        <v>25</v>
      </c>
      <c r="O24" s="14">
        <f t="shared" si="1"/>
        <v>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1.5" customHeight="1">
      <c r="A25" s="15">
        <v>21.0</v>
      </c>
      <c r="B25" s="10" t="s">
        <v>83</v>
      </c>
      <c r="C25" s="11" t="s">
        <v>84</v>
      </c>
      <c r="D25" s="12" t="s">
        <v>85</v>
      </c>
      <c r="E25" s="12">
        <v>2025.0</v>
      </c>
      <c r="F25" s="13" t="s">
        <v>19</v>
      </c>
      <c r="G25" s="9"/>
      <c r="H25" s="11" t="s">
        <v>20</v>
      </c>
      <c r="I25" s="15"/>
      <c r="J25" s="9" t="s">
        <v>21</v>
      </c>
      <c r="K25" s="9" t="s">
        <v>22</v>
      </c>
      <c r="L25" s="11" t="s">
        <v>23</v>
      </c>
      <c r="M25" s="11" t="s">
        <v>24</v>
      </c>
      <c r="N25" s="9" t="s">
        <v>25</v>
      </c>
      <c r="O25" s="14">
        <f t="shared" si="1"/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1.5" customHeight="1">
      <c r="A26" s="15">
        <v>22.0</v>
      </c>
      <c r="B26" s="10" t="s">
        <v>86</v>
      </c>
      <c r="C26" s="11" t="s">
        <v>87</v>
      </c>
      <c r="D26" s="12" t="s">
        <v>88</v>
      </c>
      <c r="E26" s="12">
        <v>2025.0</v>
      </c>
      <c r="F26" s="13" t="s">
        <v>19</v>
      </c>
      <c r="G26" s="9"/>
      <c r="H26" s="11" t="s">
        <v>20</v>
      </c>
      <c r="I26" s="15"/>
      <c r="J26" s="9" t="s">
        <v>21</v>
      </c>
      <c r="K26" s="9" t="s">
        <v>22</v>
      </c>
      <c r="L26" s="11" t="s">
        <v>23</v>
      </c>
      <c r="M26" s="11" t="s">
        <v>24</v>
      </c>
      <c r="N26" s="9" t="s">
        <v>25</v>
      </c>
      <c r="O26" s="14">
        <f t="shared" si="1"/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1.5" customHeight="1">
      <c r="A27" s="15">
        <v>23.0</v>
      </c>
      <c r="B27" s="10" t="s">
        <v>89</v>
      </c>
      <c r="C27" s="11" t="s">
        <v>90</v>
      </c>
      <c r="D27" s="12" t="s">
        <v>91</v>
      </c>
      <c r="E27" s="12">
        <v>2025.0</v>
      </c>
      <c r="F27" s="13" t="s">
        <v>19</v>
      </c>
      <c r="G27" s="9"/>
      <c r="H27" s="11" t="s">
        <v>20</v>
      </c>
      <c r="I27" s="15"/>
      <c r="J27" s="9" t="s">
        <v>21</v>
      </c>
      <c r="K27" s="9" t="s">
        <v>22</v>
      </c>
      <c r="L27" s="11" t="s">
        <v>23</v>
      </c>
      <c r="M27" s="11" t="s">
        <v>24</v>
      </c>
      <c r="N27" s="9" t="s">
        <v>25</v>
      </c>
      <c r="O27" s="14">
        <f t="shared" si="1"/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1.5" customHeight="1">
      <c r="A28" s="15">
        <v>24.0</v>
      </c>
      <c r="B28" s="10" t="s">
        <v>92</v>
      </c>
      <c r="C28" s="11" t="s">
        <v>93</v>
      </c>
      <c r="D28" s="12" t="s">
        <v>94</v>
      </c>
      <c r="E28" s="12">
        <v>2025.0</v>
      </c>
      <c r="F28" s="13" t="s">
        <v>19</v>
      </c>
      <c r="G28" s="9"/>
      <c r="H28" s="11" t="s">
        <v>20</v>
      </c>
      <c r="I28" s="15"/>
      <c r="J28" s="9" t="s">
        <v>21</v>
      </c>
      <c r="K28" s="9" t="s">
        <v>22</v>
      </c>
      <c r="L28" s="11" t="s">
        <v>23</v>
      </c>
      <c r="M28" s="11" t="s">
        <v>24</v>
      </c>
      <c r="N28" s="9" t="s">
        <v>25</v>
      </c>
      <c r="O28" s="14">
        <f t="shared" si="1"/>
        <v>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1.5" customHeight="1">
      <c r="A29" s="15">
        <v>25.0</v>
      </c>
      <c r="B29" s="10" t="s">
        <v>95</v>
      </c>
      <c r="C29" s="11" t="s">
        <v>96</v>
      </c>
      <c r="D29" s="12" t="s">
        <v>97</v>
      </c>
      <c r="E29" s="12">
        <v>2025.0</v>
      </c>
      <c r="F29" s="13" t="s">
        <v>19</v>
      </c>
      <c r="G29" s="9"/>
      <c r="H29" s="11" t="s">
        <v>20</v>
      </c>
      <c r="I29" s="15"/>
      <c r="J29" s="9" t="s">
        <v>21</v>
      </c>
      <c r="K29" s="9" t="s">
        <v>22</v>
      </c>
      <c r="L29" s="11" t="s">
        <v>23</v>
      </c>
      <c r="M29" s="11" t="s">
        <v>24</v>
      </c>
      <c r="N29" s="9" t="s">
        <v>25</v>
      </c>
      <c r="O29" s="14">
        <f t="shared" si="1"/>
        <v>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1.5" customHeight="1">
      <c r="A30" s="15">
        <v>26.0</v>
      </c>
      <c r="B30" s="10" t="s">
        <v>98</v>
      </c>
      <c r="C30" s="11" t="s">
        <v>99</v>
      </c>
      <c r="D30" s="12" t="s">
        <v>100</v>
      </c>
      <c r="E30" s="12">
        <v>2025.0</v>
      </c>
      <c r="F30" s="13" t="s">
        <v>19</v>
      </c>
      <c r="G30" s="9"/>
      <c r="H30" s="11" t="s">
        <v>20</v>
      </c>
      <c r="I30" s="15"/>
      <c r="J30" s="9" t="s">
        <v>21</v>
      </c>
      <c r="K30" s="9" t="s">
        <v>22</v>
      </c>
      <c r="L30" s="11" t="s">
        <v>23</v>
      </c>
      <c r="M30" s="11" t="s">
        <v>24</v>
      </c>
      <c r="N30" s="9" t="s">
        <v>25</v>
      </c>
      <c r="O30" s="14">
        <f t="shared" si="1"/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1.5" customHeight="1">
      <c r="A31" s="15">
        <v>27.0</v>
      </c>
      <c r="B31" s="10" t="s">
        <v>101</v>
      </c>
      <c r="C31" s="11" t="s">
        <v>102</v>
      </c>
      <c r="D31" s="12" t="s">
        <v>103</v>
      </c>
      <c r="E31" s="12">
        <v>2025.0</v>
      </c>
      <c r="F31" s="13" t="s">
        <v>19</v>
      </c>
      <c r="G31" s="9"/>
      <c r="H31" s="11" t="s">
        <v>20</v>
      </c>
      <c r="I31" s="15"/>
      <c r="J31" s="9" t="s">
        <v>21</v>
      </c>
      <c r="K31" s="9" t="s">
        <v>22</v>
      </c>
      <c r="L31" s="11" t="s">
        <v>23</v>
      </c>
      <c r="M31" s="11" t="s">
        <v>24</v>
      </c>
      <c r="N31" s="9" t="s">
        <v>25</v>
      </c>
      <c r="O31" s="14">
        <f t="shared" si="1"/>
        <v>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1.5" customHeight="1">
      <c r="A32" s="15">
        <v>28.0</v>
      </c>
      <c r="B32" s="10" t="s">
        <v>104</v>
      </c>
      <c r="C32" s="11" t="s">
        <v>105</v>
      </c>
      <c r="D32" s="12" t="s">
        <v>106</v>
      </c>
      <c r="E32" s="12">
        <v>2025.0</v>
      </c>
      <c r="F32" s="13" t="s">
        <v>19</v>
      </c>
      <c r="G32" s="9"/>
      <c r="H32" s="11" t="s">
        <v>107</v>
      </c>
      <c r="I32" s="9">
        <v>50.0</v>
      </c>
      <c r="J32" s="9" t="s">
        <v>21</v>
      </c>
      <c r="K32" s="9" t="s">
        <v>22</v>
      </c>
      <c r="L32" s="11" t="s">
        <v>23</v>
      </c>
      <c r="M32" s="11" t="s">
        <v>24</v>
      </c>
      <c r="N32" s="9" t="s">
        <v>25</v>
      </c>
      <c r="O32" s="14">
        <f t="shared" si="1"/>
        <v>12500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1.5" customHeight="1">
      <c r="A33" s="15">
        <v>29.0</v>
      </c>
      <c r="B33" s="10" t="s">
        <v>108</v>
      </c>
      <c r="C33" s="11" t="s">
        <v>109</v>
      </c>
      <c r="D33" s="12" t="s">
        <v>110</v>
      </c>
      <c r="E33" s="12">
        <v>2025.0</v>
      </c>
      <c r="F33" s="13" t="s">
        <v>19</v>
      </c>
      <c r="G33" s="9"/>
      <c r="H33" s="11" t="s">
        <v>107</v>
      </c>
      <c r="I33" s="9">
        <v>154.0</v>
      </c>
      <c r="J33" s="9" t="s">
        <v>21</v>
      </c>
      <c r="K33" s="9" t="s">
        <v>22</v>
      </c>
      <c r="L33" s="11" t="s">
        <v>23</v>
      </c>
      <c r="M33" s="11" t="s">
        <v>24</v>
      </c>
      <c r="N33" s="9" t="s">
        <v>25</v>
      </c>
      <c r="O33" s="14">
        <f t="shared" si="1"/>
        <v>28100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1.5" customHeight="1">
      <c r="A34" s="15">
        <v>30.0</v>
      </c>
      <c r="B34" s="10" t="s">
        <v>111</v>
      </c>
      <c r="C34" s="11" t="s">
        <v>112</v>
      </c>
      <c r="D34" s="12" t="s">
        <v>113</v>
      </c>
      <c r="E34" s="12">
        <v>2025.0</v>
      </c>
      <c r="F34" s="13" t="s">
        <v>19</v>
      </c>
      <c r="G34" s="9"/>
      <c r="H34" s="11" t="s">
        <v>20</v>
      </c>
      <c r="I34" s="15"/>
      <c r="J34" s="9" t="s">
        <v>21</v>
      </c>
      <c r="K34" s="9" t="s">
        <v>22</v>
      </c>
      <c r="L34" s="11" t="s">
        <v>23</v>
      </c>
      <c r="M34" s="11" t="s">
        <v>24</v>
      </c>
      <c r="N34" s="9" t="s">
        <v>25</v>
      </c>
      <c r="O34" s="14">
        <f t="shared" si="1"/>
        <v>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1.5" customHeight="1">
      <c r="A35" s="15">
        <v>31.0</v>
      </c>
      <c r="B35" s="10" t="s">
        <v>114</v>
      </c>
      <c r="C35" s="11" t="s">
        <v>115</v>
      </c>
      <c r="D35" s="12" t="s">
        <v>116</v>
      </c>
      <c r="E35" s="12">
        <v>2025.0</v>
      </c>
      <c r="F35" s="13" t="s">
        <v>19</v>
      </c>
      <c r="G35" s="9"/>
      <c r="H35" s="11" t="s">
        <v>20</v>
      </c>
      <c r="I35" s="15"/>
      <c r="J35" s="9" t="s">
        <v>21</v>
      </c>
      <c r="K35" s="9" t="s">
        <v>22</v>
      </c>
      <c r="L35" s="11" t="s">
        <v>23</v>
      </c>
      <c r="M35" s="11" t="s">
        <v>24</v>
      </c>
      <c r="N35" s="9" t="s">
        <v>25</v>
      </c>
      <c r="O35" s="14">
        <f t="shared" si="1"/>
        <v>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1.5" customHeight="1">
      <c r="A36" s="15">
        <v>32.0</v>
      </c>
      <c r="B36" s="10" t="s">
        <v>117</v>
      </c>
      <c r="C36" s="11" t="s">
        <v>118</v>
      </c>
      <c r="D36" s="12" t="s">
        <v>119</v>
      </c>
      <c r="E36" s="12">
        <v>2025.0</v>
      </c>
      <c r="F36" s="13" t="s">
        <v>19</v>
      </c>
      <c r="G36" s="9"/>
      <c r="H36" s="11" t="s">
        <v>20</v>
      </c>
      <c r="I36" s="15"/>
      <c r="J36" s="9" t="s">
        <v>21</v>
      </c>
      <c r="K36" s="9" t="s">
        <v>22</v>
      </c>
      <c r="L36" s="11" t="s">
        <v>23</v>
      </c>
      <c r="M36" s="11" t="s">
        <v>24</v>
      </c>
      <c r="N36" s="9" t="s">
        <v>25</v>
      </c>
      <c r="O36" s="14">
        <f t="shared" si="1"/>
        <v>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1.5" customHeight="1">
      <c r="A37" s="15">
        <v>33.0</v>
      </c>
      <c r="B37" s="10" t="s">
        <v>120</v>
      </c>
      <c r="C37" s="11" t="s">
        <v>121</v>
      </c>
      <c r="D37" s="12" t="s">
        <v>122</v>
      </c>
      <c r="E37" s="12">
        <v>2025.0</v>
      </c>
      <c r="F37" s="13" t="s">
        <v>19</v>
      </c>
      <c r="G37" s="9"/>
      <c r="H37" s="11" t="s">
        <v>20</v>
      </c>
      <c r="I37" s="15"/>
      <c r="J37" s="9" t="s">
        <v>21</v>
      </c>
      <c r="K37" s="9" t="s">
        <v>22</v>
      </c>
      <c r="L37" s="11" t="s">
        <v>23</v>
      </c>
      <c r="M37" s="11" t="s">
        <v>24</v>
      </c>
      <c r="N37" s="9" t="s">
        <v>25</v>
      </c>
      <c r="O37" s="14">
        <f t="shared" si="1"/>
        <v>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1.5" customHeight="1">
      <c r="A38" s="15">
        <v>34.0</v>
      </c>
      <c r="B38" s="10" t="s">
        <v>123</v>
      </c>
      <c r="C38" s="11" t="s">
        <v>124</v>
      </c>
      <c r="D38" s="12" t="s">
        <v>125</v>
      </c>
      <c r="E38" s="12">
        <v>2025.0</v>
      </c>
      <c r="F38" s="13" t="s">
        <v>19</v>
      </c>
      <c r="G38" s="9"/>
      <c r="H38" s="11" t="s">
        <v>20</v>
      </c>
      <c r="I38" s="15"/>
      <c r="J38" s="9" t="s">
        <v>21</v>
      </c>
      <c r="K38" s="9" t="s">
        <v>22</v>
      </c>
      <c r="L38" s="11" t="s">
        <v>23</v>
      </c>
      <c r="M38" s="11" t="s">
        <v>24</v>
      </c>
      <c r="N38" s="9" t="s">
        <v>25</v>
      </c>
      <c r="O38" s="14">
        <f t="shared" si="1"/>
        <v>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1.5" customHeight="1">
      <c r="A39" s="15">
        <v>35.0</v>
      </c>
      <c r="B39" s="10" t="s">
        <v>126</v>
      </c>
      <c r="C39" s="11" t="s">
        <v>127</v>
      </c>
      <c r="D39" s="12" t="s">
        <v>128</v>
      </c>
      <c r="E39" s="12">
        <v>2025.0</v>
      </c>
      <c r="F39" s="13" t="s">
        <v>19</v>
      </c>
      <c r="G39" s="9"/>
      <c r="H39" s="11" t="s">
        <v>107</v>
      </c>
      <c r="I39" s="9">
        <v>272.0</v>
      </c>
      <c r="J39" s="9" t="s">
        <v>21</v>
      </c>
      <c r="K39" s="9" t="s">
        <v>22</v>
      </c>
      <c r="L39" s="11" t="s">
        <v>23</v>
      </c>
      <c r="M39" s="11" t="s">
        <v>24</v>
      </c>
      <c r="N39" s="9" t="s">
        <v>25</v>
      </c>
      <c r="O39" s="14">
        <f t="shared" si="1"/>
        <v>45800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1.5" customHeight="1">
      <c r="A40" s="15">
        <v>36.0</v>
      </c>
      <c r="B40" s="10" t="s">
        <v>129</v>
      </c>
      <c r="C40" s="11" t="s">
        <v>130</v>
      </c>
      <c r="D40" s="12" t="s">
        <v>131</v>
      </c>
      <c r="E40" s="12">
        <v>2025.0</v>
      </c>
      <c r="F40" s="13" t="s">
        <v>19</v>
      </c>
      <c r="G40" s="9"/>
      <c r="H40" s="11" t="s">
        <v>20</v>
      </c>
      <c r="I40" s="15"/>
      <c r="J40" s="9" t="s">
        <v>21</v>
      </c>
      <c r="K40" s="9" t="s">
        <v>22</v>
      </c>
      <c r="L40" s="11" t="s">
        <v>23</v>
      </c>
      <c r="M40" s="11" t="s">
        <v>24</v>
      </c>
      <c r="N40" s="9" t="s">
        <v>25</v>
      </c>
      <c r="O40" s="14">
        <f t="shared" si="1"/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1.5" customHeight="1">
      <c r="A41" s="15">
        <v>37.0</v>
      </c>
      <c r="B41" s="10" t="s">
        <v>132</v>
      </c>
      <c r="C41" s="11" t="s">
        <v>133</v>
      </c>
      <c r="D41" s="12" t="s">
        <v>134</v>
      </c>
      <c r="E41" s="12">
        <v>2025.0</v>
      </c>
      <c r="F41" s="13" t="s">
        <v>19</v>
      </c>
      <c r="G41" s="9"/>
      <c r="H41" s="11" t="s">
        <v>20</v>
      </c>
      <c r="I41" s="15"/>
      <c r="J41" s="9" t="s">
        <v>21</v>
      </c>
      <c r="K41" s="9" t="s">
        <v>22</v>
      </c>
      <c r="L41" s="11" t="s">
        <v>23</v>
      </c>
      <c r="M41" s="11" t="s">
        <v>24</v>
      </c>
      <c r="N41" s="9" t="s">
        <v>25</v>
      </c>
      <c r="O41" s="14">
        <f t="shared" si="1"/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1.5" customHeight="1">
      <c r="A42" s="15">
        <v>38.0</v>
      </c>
      <c r="B42" s="10" t="s">
        <v>135</v>
      </c>
      <c r="C42" s="11" t="s">
        <v>136</v>
      </c>
      <c r="D42" s="12" t="s">
        <v>137</v>
      </c>
      <c r="E42" s="12">
        <v>2025.0</v>
      </c>
      <c r="F42" s="13" t="s">
        <v>19</v>
      </c>
      <c r="G42" s="9"/>
      <c r="H42" s="11" t="s">
        <v>20</v>
      </c>
      <c r="I42" s="15"/>
      <c r="J42" s="9" t="s">
        <v>21</v>
      </c>
      <c r="K42" s="9" t="s">
        <v>22</v>
      </c>
      <c r="L42" s="11" t="s">
        <v>23</v>
      </c>
      <c r="M42" s="11" t="s">
        <v>24</v>
      </c>
      <c r="N42" s="9" t="s">
        <v>25</v>
      </c>
      <c r="O42" s="14">
        <f t="shared" si="1"/>
        <v>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1.5" customHeight="1">
      <c r="A43" s="15">
        <v>39.0</v>
      </c>
      <c r="B43" s="10" t="s">
        <v>138</v>
      </c>
      <c r="C43" s="11" t="s">
        <v>139</v>
      </c>
      <c r="D43" s="12" t="s">
        <v>140</v>
      </c>
      <c r="E43" s="12">
        <v>2025.0</v>
      </c>
      <c r="F43" s="13" t="s">
        <v>19</v>
      </c>
      <c r="G43" s="9"/>
      <c r="H43" s="11" t="s">
        <v>20</v>
      </c>
      <c r="I43" s="15"/>
      <c r="J43" s="9" t="s">
        <v>21</v>
      </c>
      <c r="K43" s="9" t="s">
        <v>22</v>
      </c>
      <c r="L43" s="11" t="s">
        <v>23</v>
      </c>
      <c r="M43" s="11" t="s">
        <v>24</v>
      </c>
      <c r="N43" s="9" t="s">
        <v>25</v>
      </c>
      <c r="O43" s="14">
        <f t="shared" si="1"/>
        <v>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1.5" customHeight="1">
      <c r="A44" s="15">
        <v>40.0</v>
      </c>
      <c r="B44" s="10" t="s">
        <v>141</v>
      </c>
      <c r="C44" s="11" t="s">
        <v>142</v>
      </c>
      <c r="D44" s="12" t="s">
        <v>143</v>
      </c>
      <c r="E44" s="12">
        <v>2025.0</v>
      </c>
      <c r="F44" s="13" t="s">
        <v>19</v>
      </c>
      <c r="G44" s="9"/>
      <c r="H44" s="11" t="s">
        <v>107</v>
      </c>
      <c r="I44" s="9">
        <v>199.0</v>
      </c>
      <c r="J44" s="9" t="s">
        <v>21</v>
      </c>
      <c r="K44" s="9" t="s">
        <v>22</v>
      </c>
      <c r="L44" s="11" t="s">
        <v>23</v>
      </c>
      <c r="M44" s="11" t="s">
        <v>24</v>
      </c>
      <c r="N44" s="9" t="s">
        <v>25</v>
      </c>
      <c r="O44" s="14">
        <f t="shared" si="1"/>
        <v>34850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1.5" customHeight="1">
      <c r="A45" s="15">
        <v>41.0</v>
      </c>
      <c r="B45" s="10" t="s">
        <v>141</v>
      </c>
      <c r="C45" s="11" t="s">
        <v>142</v>
      </c>
      <c r="D45" s="12" t="s">
        <v>144</v>
      </c>
      <c r="E45" s="12">
        <v>2025.0</v>
      </c>
      <c r="F45" s="13" t="s">
        <v>19</v>
      </c>
      <c r="G45" s="9"/>
      <c r="H45" s="11" t="s">
        <v>107</v>
      </c>
      <c r="I45" s="9">
        <v>199.0</v>
      </c>
      <c r="J45" s="9" t="s">
        <v>21</v>
      </c>
      <c r="K45" s="9" t="s">
        <v>22</v>
      </c>
      <c r="L45" s="11" t="s">
        <v>23</v>
      </c>
      <c r="M45" s="11" t="s">
        <v>24</v>
      </c>
      <c r="N45" s="9" t="s">
        <v>25</v>
      </c>
      <c r="O45" s="14">
        <f t="shared" si="1"/>
        <v>34850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1.5" customHeight="1">
      <c r="A46" s="15">
        <v>42.0</v>
      </c>
      <c r="B46" s="10" t="s">
        <v>145</v>
      </c>
      <c r="C46" s="11" t="s">
        <v>146</v>
      </c>
      <c r="D46" s="12" t="s">
        <v>147</v>
      </c>
      <c r="E46" s="12">
        <v>2025.0</v>
      </c>
      <c r="F46" s="13" t="s">
        <v>19</v>
      </c>
      <c r="G46" s="9"/>
      <c r="H46" s="11" t="s">
        <v>107</v>
      </c>
      <c r="I46" s="9">
        <v>324.0</v>
      </c>
      <c r="J46" s="9" t="s">
        <v>21</v>
      </c>
      <c r="K46" s="9" t="s">
        <v>22</v>
      </c>
      <c r="L46" s="11" t="s">
        <v>23</v>
      </c>
      <c r="M46" s="11" t="s">
        <v>24</v>
      </c>
      <c r="N46" s="9" t="s">
        <v>25</v>
      </c>
      <c r="O46" s="14">
        <f t="shared" si="1"/>
        <v>53600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1.5" customHeight="1">
      <c r="A47" s="15">
        <v>43.0</v>
      </c>
      <c r="B47" s="10" t="s">
        <v>148</v>
      </c>
      <c r="C47" s="11" t="s">
        <v>149</v>
      </c>
      <c r="D47" s="12" t="s">
        <v>150</v>
      </c>
      <c r="E47" s="12">
        <v>2025.0</v>
      </c>
      <c r="F47" s="13" t="s">
        <v>19</v>
      </c>
      <c r="G47" s="9"/>
      <c r="H47" s="11" t="s">
        <v>20</v>
      </c>
      <c r="I47" s="15"/>
      <c r="J47" s="9" t="s">
        <v>21</v>
      </c>
      <c r="K47" s="9" t="s">
        <v>22</v>
      </c>
      <c r="L47" s="11" t="s">
        <v>23</v>
      </c>
      <c r="M47" s="11" t="s">
        <v>24</v>
      </c>
      <c r="N47" s="9" t="s">
        <v>25</v>
      </c>
      <c r="O47" s="14">
        <f t="shared" si="1"/>
        <v>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1.5" customHeight="1">
      <c r="A48" s="15">
        <v>44.0</v>
      </c>
      <c r="B48" s="10" t="s">
        <v>151</v>
      </c>
      <c r="C48" s="11" t="s">
        <v>152</v>
      </c>
      <c r="D48" s="12" t="s">
        <v>153</v>
      </c>
      <c r="E48" s="12">
        <v>2025.0</v>
      </c>
      <c r="F48" s="13" t="s">
        <v>19</v>
      </c>
      <c r="G48" s="9"/>
      <c r="H48" s="11" t="s">
        <v>20</v>
      </c>
      <c r="I48" s="15"/>
      <c r="J48" s="9" t="s">
        <v>21</v>
      </c>
      <c r="K48" s="9" t="s">
        <v>22</v>
      </c>
      <c r="L48" s="11" t="s">
        <v>23</v>
      </c>
      <c r="M48" s="11" t="s">
        <v>24</v>
      </c>
      <c r="N48" s="9" t="s">
        <v>25</v>
      </c>
      <c r="O48" s="14">
        <f t="shared" si="1"/>
        <v>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1.5" customHeight="1">
      <c r="A49" s="15">
        <v>45.0</v>
      </c>
      <c r="B49" s="10" t="s">
        <v>154</v>
      </c>
      <c r="C49" s="11" t="s">
        <v>99</v>
      </c>
      <c r="D49" s="12" t="s">
        <v>155</v>
      </c>
      <c r="E49" s="12">
        <v>2025.0</v>
      </c>
      <c r="F49" s="13" t="s">
        <v>19</v>
      </c>
      <c r="G49" s="9"/>
      <c r="H49" s="11" t="s">
        <v>20</v>
      </c>
      <c r="I49" s="15"/>
      <c r="J49" s="9" t="s">
        <v>21</v>
      </c>
      <c r="K49" s="9" t="s">
        <v>22</v>
      </c>
      <c r="L49" s="11" t="s">
        <v>23</v>
      </c>
      <c r="M49" s="11" t="s">
        <v>24</v>
      </c>
      <c r="N49" s="9" t="s">
        <v>25</v>
      </c>
      <c r="O49" s="14">
        <f t="shared" si="1"/>
        <v>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1.5" customHeight="1">
      <c r="A50" s="15">
        <v>46.0</v>
      </c>
      <c r="B50" s="10" t="s">
        <v>156</v>
      </c>
      <c r="C50" s="11" t="s">
        <v>157</v>
      </c>
      <c r="D50" s="12" t="s">
        <v>158</v>
      </c>
      <c r="E50" s="12">
        <v>2025.0</v>
      </c>
      <c r="F50" s="13" t="s">
        <v>19</v>
      </c>
      <c r="G50" s="9"/>
      <c r="H50" s="11" t="s">
        <v>107</v>
      </c>
      <c r="I50" s="9">
        <v>424.0</v>
      </c>
      <c r="J50" s="9" t="s">
        <v>21</v>
      </c>
      <c r="K50" s="9" t="s">
        <v>22</v>
      </c>
      <c r="L50" s="11" t="s">
        <v>23</v>
      </c>
      <c r="M50" s="11" t="s">
        <v>24</v>
      </c>
      <c r="N50" s="9" t="s">
        <v>25</v>
      </c>
      <c r="O50" s="14">
        <f t="shared" si="1"/>
        <v>68600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1.5" customHeight="1">
      <c r="A51" s="15">
        <v>47.0</v>
      </c>
      <c r="B51" s="10" t="s">
        <v>159</v>
      </c>
      <c r="C51" s="11" t="s">
        <v>157</v>
      </c>
      <c r="D51" s="12" t="s">
        <v>160</v>
      </c>
      <c r="E51" s="12">
        <v>2025.0</v>
      </c>
      <c r="F51" s="13" t="s">
        <v>19</v>
      </c>
      <c r="G51" s="9"/>
      <c r="H51" s="11" t="s">
        <v>107</v>
      </c>
      <c r="I51" s="9">
        <v>421.0</v>
      </c>
      <c r="J51" s="9" t="s">
        <v>21</v>
      </c>
      <c r="K51" s="9" t="s">
        <v>22</v>
      </c>
      <c r="L51" s="11" t="s">
        <v>23</v>
      </c>
      <c r="M51" s="11" t="s">
        <v>24</v>
      </c>
      <c r="N51" s="9" t="s">
        <v>25</v>
      </c>
      <c r="O51" s="14">
        <f t="shared" si="1"/>
        <v>68150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1.5" customHeight="1">
      <c r="A52" s="15">
        <v>48.0</v>
      </c>
      <c r="B52" s="10" t="s">
        <v>161</v>
      </c>
      <c r="C52" s="11" t="s">
        <v>157</v>
      </c>
      <c r="D52" s="12" t="s">
        <v>162</v>
      </c>
      <c r="E52" s="12">
        <v>2025.0</v>
      </c>
      <c r="F52" s="13" t="s">
        <v>19</v>
      </c>
      <c r="G52" s="9"/>
      <c r="H52" s="11" t="s">
        <v>107</v>
      </c>
      <c r="I52" s="9">
        <v>845.0</v>
      </c>
      <c r="J52" s="9" t="s">
        <v>21</v>
      </c>
      <c r="K52" s="9" t="s">
        <v>22</v>
      </c>
      <c r="L52" s="11" t="s">
        <v>23</v>
      </c>
      <c r="M52" s="11" t="s">
        <v>24</v>
      </c>
      <c r="N52" s="9" t="s">
        <v>25</v>
      </c>
      <c r="O52" s="14">
        <f t="shared" si="1"/>
        <v>131750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1.5" customHeight="1">
      <c r="A53" s="15">
        <v>49.0</v>
      </c>
      <c r="B53" s="10" t="s">
        <v>163</v>
      </c>
      <c r="C53" s="11" t="s">
        <v>121</v>
      </c>
      <c r="D53" s="12" t="s">
        <v>164</v>
      </c>
      <c r="E53" s="12">
        <v>2025.0</v>
      </c>
      <c r="F53" s="13" t="s">
        <v>19</v>
      </c>
      <c r="G53" s="9"/>
      <c r="H53" s="11" t="s">
        <v>20</v>
      </c>
      <c r="I53" s="15"/>
      <c r="J53" s="9" t="s">
        <v>21</v>
      </c>
      <c r="K53" s="9" t="s">
        <v>22</v>
      </c>
      <c r="L53" s="11" t="s">
        <v>23</v>
      </c>
      <c r="M53" s="11" t="s">
        <v>24</v>
      </c>
      <c r="N53" s="9" t="s">
        <v>25</v>
      </c>
      <c r="O53" s="14">
        <f t="shared" si="1"/>
        <v>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1.5" customHeight="1">
      <c r="A54" s="15">
        <v>50.0</v>
      </c>
      <c r="B54" s="10" t="s">
        <v>165</v>
      </c>
      <c r="C54" s="11" t="s">
        <v>166</v>
      </c>
      <c r="D54" s="12" t="s">
        <v>167</v>
      </c>
      <c r="E54" s="12">
        <v>2025.0</v>
      </c>
      <c r="F54" s="13" t="s">
        <v>19</v>
      </c>
      <c r="G54" s="9"/>
      <c r="H54" s="11" t="s">
        <v>107</v>
      </c>
      <c r="I54" s="9">
        <v>408.0</v>
      </c>
      <c r="J54" s="9" t="s">
        <v>21</v>
      </c>
      <c r="K54" s="9" t="s">
        <v>22</v>
      </c>
      <c r="L54" s="11" t="s">
        <v>23</v>
      </c>
      <c r="M54" s="11" t="s">
        <v>24</v>
      </c>
      <c r="N54" s="9" t="s">
        <v>25</v>
      </c>
      <c r="O54" s="14">
        <f t="shared" si="1"/>
        <v>66200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1.5" customHeight="1">
      <c r="A55" s="15">
        <v>51.0</v>
      </c>
      <c r="B55" s="10" t="s">
        <v>168</v>
      </c>
      <c r="C55" s="11" t="s">
        <v>169</v>
      </c>
      <c r="D55" s="12" t="s">
        <v>170</v>
      </c>
      <c r="E55" s="12">
        <v>2025.0</v>
      </c>
      <c r="F55" s="13" t="s">
        <v>19</v>
      </c>
      <c r="G55" s="9"/>
      <c r="H55" s="11" t="s">
        <v>20</v>
      </c>
      <c r="I55" s="15"/>
      <c r="J55" s="9" t="s">
        <v>21</v>
      </c>
      <c r="K55" s="9" t="s">
        <v>22</v>
      </c>
      <c r="L55" s="11" t="s">
        <v>23</v>
      </c>
      <c r="M55" s="11" t="s">
        <v>24</v>
      </c>
      <c r="N55" s="9" t="s">
        <v>25</v>
      </c>
      <c r="O55" s="14">
        <f t="shared" si="1"/>
        <v>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1.5" customHeight="1">
      <c r="A56" s="15">
        <v>52.0</v>
      </c>
      <c r="B56" s="10" t="s">
        <v>171</v>
      </c>
      <c r="C56" s="11" t="s">
        <v>172</v>
      </c>
      <c r="D56" s="12" t="s">
        <v>173</v>
      </c>
      <c r="E56" s="12">
        <v>2025.0</v>
      </c>
      <c r="F56" s="13" t="s">
        <v>19</v>
      </c>
      <c r="G56" s="9"/>
      <c r="H56" s="11" t="s">
        <v>20</v>
      </c>
      <c r="I56" s="15"/>
      <c r="J56" s="9" t="s">
        <v>21</v>
      </c>
      <c r="K56" s="9" t="s">
        <v>22</v>
      </c>
      <c r="L56" s="11" t="s">
        <v>23</v>
      </c>
      <c r="M56" s="11" t="s">
        <v>24</v>
      </c>
      <c r="N56" s="9" t="s">
        <v>25</v>
      </c>
      <c r="O56" s="14">
        <f t="shared" si="1"/>
        <v>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1.5" customHeight="1">
      <c r="A57" s="15">
        <v>53.0</v>
      </c>
      <c r="B57" s="10" t="s">
        <v>174</v>
      </c>
      <c r="C57" s="11" t="s">
        <v>157</v>
      </c>
      <c r="D57" s="12" t="s">
        <v>175</v>
      </c>
      <c r="E57" s="12">
        <v>2025.0</v>
      </c>
      <c r="F57" s="13" t="s">
        <v>19</v>
      </c>
      <c r="G57" s="9"/>
      <c r="H57" s="11" t="s">
        <v>107</v>
      </c>
      <c r="I57" s="9">
        <v>282.0</v>
      </c>
      <c r="J57" s="9" t="s">
        <v>21</v>
      </c>
      <c r="K57" s="9" t="s">
        <v>22</v>
      </c>
      <c r="L57" s="11" t="s">
        <v>23</v>
      </c>
      <c r="M57" s="11" t="s">
        <v>24</v>
      </c>
      <c r="N57" s="9" t="s">
        <v>25</v>
      </c>
      <c r="O57" s="14">
        <f t="shared" si="1"/>
        <v>47300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1.5" customHeight="1">
      <c r="A58" s="15">
        <v>54.0</v>
      </c>
      <c r="B58" s="10" t="s">
        <v>176</v>
      </c>
      <c r="C58" s="11" t="s">
        <v>177</v>
      </c>
      <c r="D58" s="12" t="s">
        <v>178</v>
      </c>
      <c r="E58" s="12">
        <v>2025.0</v>
      </c>
      <c r="F58" s="13" t="s">
        <v>19</v>
      </c>
      <c r="G58" s="9"/>
      <c r="H58" s="11" t="s">
        <v>20</v>
      </c>
      <c r="I58" s="15"/>
      <c r="J58" s="9" t="s">
        <v>21</v>
      </c>
      <c r="K58" s="9" t="s">
        <v>22</v>
      </c>
      <c r="L58" s="11" t="s">
        <v>23</v>
      </c>
      <c r="M58" s="11" t="s">
        <v>24</v>
      </c>
      <c r="N58" s="9" t="s">
        <v>25</v>
      </c>
      <c r="O58" s="14">
        <f t="shared" si="1"/>
        <v>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1.5" customHeight="1">
      <c r="A59" s="15">
        <v>55.0</v>
      </c>
      <c r="B59" s="10" t="s">
        <v>179</v>
      </c>
      <c r="C59" s="11" t="s">
        <v>99</v>
      </c>
      <c r="D59" s="12" t="s">
        <v>180</v>
      </c>
      <c r="E59" s="12">
        <v>2025.0</v>
      </c>
      <c r="F59" s="13" t="s">
        <v>19</v>
      </c>
      <c r="G59" s="9"/>
      <c r="H59" s="11" t="s">
        <v>20</v>
      </c>
      <c r="I59" s="15"/>
      <c r="J59" s="9" t="s">
        <v>21</v>
      </c>
      <c r="K59" s="9" t="s">
        <v>22</v>
      </c>
      <c r="L59" s="11" t="s">
        <v>23</v>
      </c>
      <c r="M59" s="11" t="s">
        <v>24</v>
      </c>
      <c r="N59" s="9" t="s">
        <v>25</v>
      </c>
      <c r="O59" s="14">
        <f t="shared" si="1"/>
        <v>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1.5" customHeight="1">
      <c r="A60" s="15">
        <v>56.0</v>
      </c>
      <c r="B60" s="10" t="s">
        <v>181</v>
      </c>
      <c r="C60" s="11" t="s">
        <v>182</v>
      </c>
      <c r="D60" s="12" t="s">
        <v>183</v>
      </c>
      <c r="E60" s="12">
        <v>2025.0</v>
      </c>
      <c r="F60" s="13" t="s">
        <v>19</v>
      </c>
      <c r="G60" s="9"/>
      <c r="H60" s="11" t="s">
        <v>20</v>
      </c>
      <c r="I60" s="15"/>
      <c r="J60" s="9" t="s">
        <v>21</v>
      </c>
      <c r="K60" s="9" t="s">
        <v>22</v>
      </c>
      <c r="L60" s="11" t="s">
        <v>23</v>
      </c>
      <c r="M60" s="11" t="s">
        <v>24</v>
      </c>
      <c r="N60" s="9" t="s">
        <v>25</v>
      </c>
      <c r="O60" s="14">
        <f t="shared" si="1"/>
        <v>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1.5" customHeight="1">
      <c r="A61" s="15">
        <v>57.0</v>
      </c>
      <c r="B61" s="10" t="s">
        <v>184</v>
      </c>
      <c r="C61" s="11" t="s">
        <v>185</v>
      </c>
      <c r="D61" s="12" t="s">
        <v>186</v>
      </c>
      <c r="E61" s="12">
        <v>2024.0</v>
      </c>
      <c r="F61" s="13" t="s">
        <v>19</v>
      </c>
      <c r="G61" s="9"/>
      <c r="H61" s="11" t="s">
        <v>20</v>
      </c>
      <c r="I61" s="15"/>
      <c r="J61" s="9" t="s">
        <v>21</v>
      </c>
      <c r="K61" s="9" t="s">
        <v>22</v>
      </c>
      <c r="L61" s="11" t="s">
        <v>23</v>
      </c>
      <c r="M61" s="11" t="s">
        <v>24</v>
      </c>
      <c r="N61" s="9" t="s">
        <v>25</v>
      </c>
      <c r="O61" s="14">
        <f t="shared" si="1"/>
        <v>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1.5" customHeight="1">
      <c r="A62" s="15">
        <v>58.0</v>
      </c>
      <c r="B62" s="10" t="s">
        <v>187</v>
      </c>
      <c r="C62" s="11" t="s">
        <v>188</v>
      </c>
      <c r="D62" s="12" t="s">
        <v>189</v>
      </c>
      <c r="E62" s="12">
        <v>2024.0</v>
      </c>
      <c r="F62" s="13" t="s">
        <v>19</v>
      </c>
      <c r="G62" s="9"/>
      <c r="H62" s="11" t="s">
        <v>20</v>
      </c>
      <c r="I62" s="15"/>
      <c r="J62" s="9" t="s">
        <v>21</v>
      </c>
      <c r="K62" s="9" t="s">
        <v>22</v>
      </c>
      <c r="L62" s="11" t="s">
        <v>23</v>
      </c>
      <c r="M62" s="11" t="s">
        <v>24</v>
      </c>
      <c r="N62" s="9" t="s">
        <v>25</v>
      </c>
      <c r="O62" s="14">
        <f t="shared" si="1"/>
        <v>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1.5" customHeight="1">
      <c r="A63" s="15">
        <v>59.0</v>
      </c>
      <c r="B63" s="10" t="s">
        <v>190</v>
      </c>
      <c r="C63" s="11" t="s">
        <v>191</v>
      </c>
      <c r="D63" s="12" t="s">
        <v>192</v>
      </c>
      <c r="E63" s="12">
        <v>2024.0</v>
      </c>
      <c r="F63" s="13" t="s">
        <v>19</v>
      </c>
      <c r="G63" s="9"/>
      <c r="H63" s="11" t="s">
        <v>20</v>
      </c>
      <c r="I63" s="15"/>
      <c r="J63" s="9" t="s">
        <v>21</v>
      </c>
      <c r="K63" s="9" t="s">
        <v>22</v>
      </c>
      <c r="L63" s="11" t="s">
        <v>23</v>
      </c>
      <c r="M63" s="11" t="s">
        <v>24</v>
      </c>
      <c r="N63" s="9" t="s">
        <v>25</v>
      </c>
      <c r="O63" s="14">
        <f t="shared" si="1"/>
        <v>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1.5" customHeight="1">
      <c r="A64" s="15">
        <v>60.0</v>
      </c>
      <c r="B64" s="10" t="s">
        <v>193</v>
      </c>
      <c r="C64" s="11" t="s">
        <v>194</v>
      </c>
      <c r="D64" s="12" t="s">
        <v>195</v>
      </c>
      <c r="E64" s="12">
        <v>2024.0</v>
      </c>
      <c r="F64" s="13" t="s">
        <v>19</v>
      </c>
      <c r="G64" s="9"/>
      <c r="H64" s="11" t="s">
        <v>20</v>
      </c>
      <c r="I64" s="15"/>
      <c r="J64" s="9" t="s">
        <v>21</v>
      </c>
      <c r="K64" s="9" t="s">
        <v>22</v>
      </c>
      <c r="L64" s="11" t="s">
        <v>23</v>
      </c>
      <c r="M64" s="11" t="s">
        <v>24</v>
      </c>
      <c r="N64" s="9" t="s">
        <v>25</v>
      </c>
      <c r="O64" s="14">
        <f t="shared" si="1"/>
        <v>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1.5" customHeight="1">
      <c r="A65" s="15">
        <v>61.0</v>
      </c>
      <c r="B65" s="10" t="s">
        <v>196</v>
      </c>
      <c r="C65" s="11" t="s">
        <v>197</v>
      </c>
      <c r="D65" s="12" t="s">
        <v>198</v>
      </c>
      <c r="E65" s="12">
        <v>2024.0</v>
      </c>
      <c r="F65" s="13" t="s">
        <v>19</v>
      </c>
      <c r="G65" s="9"/>
      <c r="H65" s="11" t="s">
        <v>20</v>
      </c>
      <c r="I65" s="15"/>
      <c r="J65" s="9" t="s">
        <v>21</v>
      </c>
      <c r="K65" s="9" t="s">
        <v>22</v>
      </c>
      <c r="L65" s="11" t="s">
        <v>23</v>
      </c>
      <c r="M65" s="11" t="s">
        <v>24</v>
      </c>
      <c r="N65" s="9" t="s">
        <v>25</v>
      </c>
      <c r="O65" s="14">
        <f t="shared" si="1"/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1.5" customHeight="1">
      <c r="A66" s="15">
        <v>62.0</v>
      </c>
      <c r="B66" s="10" t="s">
        <v>199</v>
      </c>
      <c r="C66" s="11" t="s">
        <v>200</v>
      </c>
      <c r="D66" s="12" t="s">
        <v>201</v>
      </c>
      <c r="E66" s="12">
        <v>2024.0</v>
      </c>
      <c r="F66" s="13" t="s">
        <v>19</v>
      </c>
      <c r="G66" s="9"/>
      <c r="H66" s="11" t="s">
        <v>20</v>
      </c>
      <c r="I66" s="15"/>
      <c r="J66" s="9" t="s">
        <v>21</v>
      </c>
      <c r="K66" s="9" t="s">
        <v>22</v>
      </c>
      <c r="L66" s="11" t="s">
        <v>23</v>
      </c>
      <c r="M66" s="11" t="s">
        <v>24</v>
      </c>
      <c r="N66" s="9" t="s">
        <v>25</v>
      </c>
      <c r="O66" s="14">
        <f t="shared" si="1"/>
        <v>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1.5" customHeight="1">
      <c r="A67" s="15">
        <v>63.0</v>
      </c>
      <c r="B67" s="10" t="s">
        <v>202</v>
      </c>
      <c r="C67" s="11" t="s">
        <v>99</v>
      </c>
      <c r="D67" s="12" t="s">
        <v>203</v>
      </c>
      <c r="E67" s="12">
        <v>2024.0</v>
      </c>
      <c r="F67" s="13" t="s">
        <v>19</v>
      </c>
      <c r="G67" s="9"/>
      <c r="H67" s="11" t="s">
        <v>20</v>
      </c>
      <c r="I67" s="15"/>
      <c r="J67" s="9" t="s">
        <v>21</v>
      </c>
      <c r="K67" s="9" t="s">
        <v>22</v>
      </c>
      <c r="L67" s="11" t="s">
        <v>23</v>
      </c>
      <c r="M67" s="11" t="s">
        <v>24</v>
      </c>
      <c r="N67" s="9" t="s">
        <v>25</v>
      </c>
      <c r="O67" s="14">
        <f t="shared" si="1"/>
        <v>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1.5" customHeight="1">
      <c r="A68" s="15">
        <v>64.0</v>
      </c>
      <c r="B68" s="10" t="s">
        <v>204</v>
      </c>
      <c r="C68" s="11" t="s">
        <v>205</v>
      </c>
      <c r="D68" s="12" t="s">
        <v>206</v>
      </c>
      <c r="E68" s="12">
        <v>2024.0</v>
      </c>
      <c r="F68" s="13" t="s">
        <v>19</v>
      </c>
      <c r="G68" s="9"/>
      <c r="H68" s="11" t="s">
        <v>20</v>
      </c>
      <c r="I68" s="15"/>
      <c r="J68" s="9" t="s">
        <v>21</v>
      </c>
      <c r="K68" s="9" t="s">
        <v>22</v>
      </c>
      <c r="L68" s="11" t="s">
        <v>23</v>
      </c>
      <c r="M68" s="11" t="s">
        <v>24</v>
      </c>
      <c r="N68" s="9" t="s">
        <v>25</v>
      </c>
      <c r="O68" s="14">
        <f t="shared" si="1"/>
        <v>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1.5" customHeight="1">
      <c r="A69" s="15">
        <v>65.0</v>
      </c>
      <c r="B69" s="10" t="s">
        <v>207</v>
      </c>
      <c r="C69" s="11" t="s">
        <v>205</v>
      </c>
      <c r="D69" s="12" t="s">
        <v>208</v>
      </c>
      <c r="E69" s="12">
        <v>2024.0</v>
      </c>
      <c r="F69" s="13" t="s">
        <v>19</v>
      </c>
      <c r="G69" s="9"/>
      <c r="H69" s="11" t="s">
        <v>20</v>
      </c>
      <c r="I69" s="15"/>
      <c r="J69" s="9" t="s">
        <v>21</v>
      </c>
      <c r="K69" s="9" t="s">
        <v>22</v>
      </c>
      <c r="L69" s="11" t="s">
        <v>23</v>
      </c>
      <c r="M69" s="11" t="s">
        <v>24</v>
      </c>
      <c r="N69" s="9" t="s">
        <v>25</v>
      </c>
      <c r="O69" s="14">
        <f t="shared" si="1"/>
        <v>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1.5" customHeight="1">
      <c r="A70" s="15">
        <v>66.0</v>
      </c>
      <c r="B70" s="10" t="s">
        <v>209</v>
      </c>
      <c r="C70" s="11" t="s">
        <v>205</v>
      </c>
      <c r="D70" s="12" t="s">
        <v>210</v>
      </c>
      <c r="E70" s="12">
        <v>2024.0</v>
      </c>
      <c r="F70" s="13" t="s">
        <v>19</v>
      </c>
      <c r="G70" s="9"/>
      <c r="H70" s="11" t="s">
        <v>20</v>
      </c>
      <c r="I70" s="15"/>
      <c r="J70" s="9" t="s">
        <v>21</v>
      </c>
      <c r="K70" s="9" t="s">
        <v>22</v>
      </c>
      <c r="L70" s="11" t="s">
        <v>23</v>
      </c>
      <c r="M70" s="11" t="s">
        <v>24</v>
      </c>
      <c r="N70" s="9" t="s">
        <v>25</v>
      </c>
      <c r="O70" s="14">
        <f t="shared" si="1"/>
        <v>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1.5" customHeight="1">
      <c r="A71" s="15">
        <v>67.0</v>
      </c>
      <c r="B71" s="10" t="s">
        <v>211</v>
      </c>
      <c r="C71" s="11" t="s">
        <v>205</v>
      </c>
      <c r="D71" s="12" t="s">
        <v>212</v>
      </c>
      <c r="E71" s="12">
        <v>2024.0</v>
      </c>
      <c r="F71" s="13" t="s">
        <v>19</v>
      </c>
      <c r="G71" s="9"/>
      <c r="H71" s="11" t="s">
        <v>20</v>
      </c>
      <c r="I71" s="15"/>
      <c r="J71" s="9" t="s">
        <v>21</v>
      </c>
      <c r="K71" s="9" t="s">
        <v>22</v>
      </c>
      <c r="L71" s="11" t="s">
        <v>23</v>
      </c>
      <c r="M71" s="11" t="s">
        <v>24</v>
      </c>
      <c r="N71" s="9" t="s">
        <v>25</v>
      </c>
      <c r="O71" s="14">
        <f t="shared" si="1"/>
        <v>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1.5" customHeight="1">
      <c r="A72" s="15">
        <v>68.0</v>
      </c>
      <c r="B72" s="10" t="s">
        <v>213</v>
      </c>
      <c r="C72" s="11" t="s">
        <v>214</v>
      </c>
      <c r="D72" s="12" t="s">
        <v>215</v>
      </c>
      <c r="E72" s="12">
        <v>2024.0</v>
      </c>
      <c r="F72" s="13" t="s">
        <v>19</v>
      </c>
      <c r="G72" s="9"/>
      <c r="H72" s="11" t="s">
        <v>20</v>
      </c>
      <c r="I72" s="15"/>
      <c r="J72" s="9" t="s">
        <v>21</v>
      </c>
      <c r="K72" s="9" t="s">
        <v>22</v>
      </c>
      <c r="L72" s="11" t="s">
        <v>23</v>
      </c>
      <c r="M72" s="11" t="s">
        <v>24</v>
      </c>
      <c r="N72" s="9" t="s">
        <v>25</v>
      </c>
      <c r="O72" s="14">
        <f t="shared" si="1"/>
        <v>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1.5" customHeight="1">
      <c r="A73" s="15">
        <v>69.0</v>
      </c>
      <c r="B73" s="10" t="s">
        <v>216</v>
      </c>
      <c r="C73" s="11" t="s">
        <v>217</v>
      </c>
      <c r="D73" s="12" t="s">
        <v>218</v>
      </c>
      <c r="E73" s="12">
        <v>2024.0</v>
      </c>
      <c r="F73" s="13" t="s">
        <v>19</v>
      </c>
      <c r="G73" s="9"/>
      <c r="H73" s="11" t="s">
        <v>20</v>
      </c>
      <c r="I73" s="15"/>
      <c r="J73" s="9" t="s">
        <v>21</v>
      </c>
      <c r="K73" s="9" t="s">
        <v>22</v>
      </c>
      <c r="L73" s="11" t="s">
        <v>23</v>
      </c>
      <c r="M73" s="11" t="s">
        <v>24</v>
      </c>
      <c r="N73" s="9" t="s">
        <v>25</v>
      </c>
      <c r="O73" s="14">
        <f t="shared" si="1"/>
        <v>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1.5" customHeight="1">
      <c r="A74" s="15">
        <v>70.0</v>
      </c>
      <c r="B74" s="10" t="s">
        <v>219</v>
      </c>
      <c r="C74" s="11" t="s">
        <v>220</v>
      </c>
      <c r="D74" s="12" t="s">
        <v>221</v>
      </c>
      <c r="E74" s="12">
        <v>2024.0</v>
      </c>
      <c r="F74" s="13" t="s">
        <v>19</v>
      </c>
      <c r="G74" s="9"/>
      <c r="H74" s="11" t="s">
        <v>20</v>
      </c>
      <c r="I74" s="15"/>
      <c r="J74" s="9" t="s">
        <v>21</v>
      </c>
      <c r="K74" s="9" t="s">
        <v>22</v>
      </c>
      <c r="L74" s="11" t="s">
        <v>23</v>
      </c>
      <c r="M74" s="11" t="s">
        <v>24</v>
      </c>
      <c r="N74" s="9" t="s">
        <v>25</v>
      </c>
      <c r="O74" s="14">
        <f t="shared" si="1"/>
        <v>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1.5" customHeight="1">
      <c r="A75" s="15">
        <v>71.0</v>
      </c>
      <c r="B75" s="10" t="s">
        <v>222</v>
      </c>
      <c r="C75" s="11" t="s">
        <v>223</v>
      </c>
      <c r="D75" s="12" t="s">
        <v>224</v>
      </c>
      <c r="E75" s="12">
        <v>2024.0</v>
      </c>
      <c r="F75" s="13" t="s">
        <v>19</v>
      </c>
      <c r="G75" s="9"/>
      <c r="H75" s="11" t="s">
        <v>20</v>
      </c>
      <c r="I75" s="15"/>
      <c r="J75" s="9" t="s">
        <v>21</v>
      </c>
      <c r="K75" s="9" t="s">
        <v>22</v>
      </c>
      <c r="L75" s="11" t="s">
        <v>23</v>
      </c>
      <c r="M75" s="11" t="s">
        <v>24</v>
      </c>
      <c r="N75" s="9" t="s">
        <v>25</v>
      </c>
      <c r="O75" s="14">
        <f t="shared" si="1"/>
        <v>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1.5" customHeight="1">
      <c r="A76" s="15">
        <v>72.0</v>
      </c>
      <c r="B76" s="10" t="s">
        <v>225</v>
      </c>
      <c r="C76" s="11" t="s">
        <v>226</v>
      </c>
      <c r="D76" s="12" t="s">
        <v>227</v>
      </c>
      <c r="E76" s="12">
        <v>2024.0</v>
      </c>
      <c r="F76" s="13" t="s">
        <v>19</v>
      </c>
      <c r="G76" s="9"/>
      <c r="H76" s="11" t="s">
        <v>20</v>
      </c>
      <c r="I76" s="15"/>
      <c r="J76" s="9" t="s">
        <v>21</v>
      </c>
      <c r="K76" s="9" t="s">
        <v>22</v>
      </c>
      <c r="L76" s="11" t="s">
        <v>23</v>
      </c>
      <c r="M76" s="11" t="s">
        <v>24</v>
      </c>
      <c r="N76" s="9" t="s">
        <v>25</v>
      </c>
      <c r="O76" s="14">
        <f t="shared" si="1"/>
        <v>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1.5" customHeight="1">
      <c r="A77" s="15">
        <v>73.0</v>
      </c>
      <c r="B77" s="10" t="s">
        <v>228</v>
      </c>
      <c r="C77" s="11" t="s">
        <v>229</v>
      </c>
      <c r="D77" s="12" t="s">
        <v>230</v>
      </c>
      <c r="E77" s="12">
        <v>2024.0</v>
      </c>
      <c r="F77" s="13" t="s">
        <v>19</v>
      </c>
      <c r="G77" s="9"/>
      <c r="H77" s="11" t="s">
        <v>20</v>
      </c>
      <c r="I77" s="15"/>
      <c r="J77" s="9" t="s">
        <v>21</v>
      </c>
      <c r="K77" s="9" t="s">
        <v>22</v>
      </c>
      <c r="L77" s="11" t="s">
        <v>23</v>
      </c>
      <c r="M77" s="11" t="s">
        <v>24</v>
      </c>
      <c r="N77" s="9" t="s">
        <v>25</v>
      </c>
      <c r="O77" s="14">
        <f t="shared" si="1"/>
        <v>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1.5" customHeight="1">
      <c r="A78" s="15">
        <v>74.0</v>
      </c>
      <c r="B78" s="10" t="s">
        <v>231</v>
      </c>
      <c r="C78" s="11" t="s">
        <v>232</v>
      </c>
      <c r="D78" s="12" t="s">
        <v>233</v>
      </c>
      <c r="E78" s="12">
        <v>2024.0</v>
      </c>
      <c r="F78" s="13" t="s">
        <v>19</v>
      </c>
      <c r="G78" s="9"/>
      <c r="H78" s="11" t="s">
        <v>20</v>
      </c>
      <c r="I78" s="15"/>
      <c r="J78" s="9" t="s">
        <v>21</v>
      </c>
      <c r="K78" s="9" t="s">
        <v>22</v>
      </c>
      <c r="L78" s="11" t="s">
        <v>23</v>
      </c>
      <c r="M78" s="11" t="s">
        <v>24</v>
      </c>
      <c r="N78" s="9" t="s">
        <v>25</v>
      </c>
      <c r="O78" s="14">
        <f t="shared" si="1"/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1.5" customHeight="1">
      <c r="A79" s="15">
        <v>75.0</v>
      </c>
      <c r="B79" s="10" t="s">
        <v>234</v>
      </c>
      <c r="C79" s="11" t="s">
        <v>157</v>
      </c>
      <c r="D79" s="12" t="s">
        <v>235</v>
      </c>
      <c r="E79" s="12">
        <v>2024.0</v>
      </c>
      <c r="F79" s="13" t="s">
        <v>19</v>
      </c>
      <c r="G79" s="9"/>
      <c r="H79" s="11" t="s">
        <v>20</v>
      </c>
      <c r="I79" s="15"/>
      <c r="J79" s="9" t="s">
        <v>21</v>
      </c>
      <c r="K79" s="9" t="s">
        <v>22</v>
      </c>
      <c r="L79" s="11" t="s">
        <v>23</v>
      </c>
      <c r="M79" s="11" t="s">
        <v>24</v>
      </c>
      <c r="N79" s="9" t="s">
        <v>25</v>
      </c>
      <c r="O79" s="14">
        <f t="shared" si="1"/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1.5" customHeight="1">
      <c r="A80" s="15">
        <v>76.0</v>
      </c>
      <c r="B80" s="10" t="s">
        <v>236</v>
      </c>
      <c r="C80" s="11" t="s">
        <v>237</v>
      </c>
      <c r="D80" s="12" t="s">
        <v>238</v>
      </c>
      <c r="E80" s="12">
        <v>2024.0</v>
      </c>
      <c r="F80" s="13" t="s">
        <v>19</v>
      </c>
      <c r="G80" s="9"/>
      <c r="H80" s="11" t="s">
        <v>20</v>
      </c>
      <c r="I80" s="15"/>
      <c r="J80" s="9" t="s">
        <v>21</v>
      </c>
      <c r="K80" s="9" t="s">
        <v>22</v>
      </c>
      <c r="L80" s="11" t="s">
        <v>23</v>
      </c>
      <c r="M80" s="11" t="s">
        <v>24</v>
      </c>
      <c r="N80" s="9" t="s">
        <v>25</v>
      </c>
      <c r="O80" s="14">
        <f t="shared" si="1"/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1.5" customHeight="1">
      <c r="A81" s="15">
        <v>77.0</v>
      </c>
      <c r="B81" s="10" t="s">
        <v>239</v>
      </c>
      <c r="C81" s="11" t="s">
        <v>240</v>
      </c>
      <c r="D81" s="12" t="s">
        <v>241</v>
      </c>
      <c r="E81" s="12">
        <v>2024.0</v>
      </c>
      <c r="F81" s="13" t="s">
        <v>19</v>
      </c>
      <c r="G81" s="9"/>
      <c r="H81" s="11" t="s">
        <v>20</v>
      </c>
      <c r="I81" s="15"/>
      <c r="J81" s="9" t="s">
        <v>21</v>
      </c>
      <c r="K81" s="9" t="s">
        <v>22</v>
      </c>
      <c r="L81" s="11" t="s">
        <v>23</v>
      </c>
      <c r="M81" s="11" t="s">
        <v>24</v>
      </c>
      <c r="N81" s="9" t="s">
        <v>25</v>
      </c>
      <c r="O81" s="14">
        <f t="shared" si="1"/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1.5" customHeight="1">
      <c r="A82" s="15">
        <v>78.0</v>
      </c>
      <c r="B82" s="10" t="s">
        <v>242</v>
      </c>
      <c r="C82" s="11" t="s">
        <v>243</v>
      </c>
      <c r="D82" s="12" t="s">
        <v>244</v>
      </c>
      <c r="E82" s="12">
        <v>2024.0</v>
      </c>
      <c r="F82" s="13" t="s">
        <v>19</v>
      </c>
      <c r="G82" s="9"/>
      <c r="H82" s="11" t="s">
        <v>20</v>
      </c>
      <c r="I82" s="15"/>
      <c r="J82" s="9" t="s">
        <v>21</v>
      </c>
      <c r="K82" s="9" t="s">
        <v>22</v>
      </c>
      <c r="L82" s="11" t="s">
        <v>23</v>
      </c>
      <c r="M82" s="11" t="s">
        <v>24</v>
      </c>
      <c r="N82" s="9" t="s">
        <v>25</v>
      </c>
      <c r="O82" s="14">
        <f t="shared" si="1"/>
        <v>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1.5" customHeight="1">
      <c r="A83" s="15">
        <v>79.0</v>
      </c>
      <c r="B83" s="10" t="s">
        <v>245</v>
      </c>
      <c r="C83" s="11" t="s">
        <v>246</v>
      </c>
      <c r="D83" s="12" t="s">
        <v>247</v>
      </c>
      <c r="E83" s="12">
        <v>2024.0</v>
      </c>
      <c r="F83" s="13" t="s">
        <v>19</v>
      </c>
      <c r="G83" s="9"/>
      <c r="H83" s="11" t="s">
        <v>20</v>
      </c>
      <c r="I83" s="15"/>
      <c r="J83" s="9" t="s">
        <v>21</v>
      </c>
      <c r="K83" s="9" t="s">
        <v>22</v>
      </c>
      <c r="L83" s="11" t="s">
        <v>23</v>
      </c>
      <c r="M83" s="11" t="s">
        <v>24</v>
      </c>
      <c r="N83" s="9" t="s">
        <v>25</v>
      </c>
      <c r="O83" s="14">
        <f t="shared" si="1"/>
        <v>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1.5" customHeight="1">
      <c r="A84" s="15">
        <v>80.0</v>
      </c>
      <c r="B84" s="10" t="s">
        <v>248</v>
      </c>
      <c r="C84" s="11" t="s">
        <v>249</v>
      </c>
      <c r="D84" s="12" t="s">
        <v>250</v>
      </c>
      <c r="E84" s="12">
        <v>2024.0</v>
      </c>
      <c r="F84" s="13" t="s">
        <v>19</v>
      </c>
      <c r="G84" s="9"/>
      <c r="H84" s="11" t="s">
        <v>20</v>
      </c>
      <c r="I84" s="15"/>
      <c r="J84" s="9" t="s">
        <v>21</v>
      </c>
      <c r="K84" s="9" t="s">
        <v>22</v>
      </c>
      <c r="L84" s="11" t="s">
        <v>23</v>
      </c>
      <c r="M84" s="11" t="s">
        <v>24</v>
      </c>
      <c r="N84" s="9" t="s">
        <v>25</v>
      </c>
      <c r="O84" s="14">
        <f t="shared" si="1"/>
        <v>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1.5" customHeight="1">
      <c r="A85" s="15">
        <v>81.0</v>
      </c>
      <c r="B85" s="10" t="s">
        <v>251</v>
      </c>
      <c r="C85" s="11" t="s">
        <v>252</v>
      </c>
      <c r="D85" s="12" t="s">
        <v>253</v>
      </c>
      <c r="E85" s="12">
        <v>2024.0</v>
      </c>
      <c r="F85" s="13" t="s">
        <v>19</v>
      </c>
      <c r="G85" s="9"/>
      <c r="H85" s="11" t="s">
        <v>20</v>
      </c>
      <c r="I85" s="15"/>
      <c r="J85" s="9" t="s">
        <v>21</v>
      </c>
      <c r="K85" s="9" t="s">
        <v>22</v>
      </c>
      <c r="L85" s="11" t="s">
        <v>23</v>
      </c>
      <c r="M85" s="11" t="s">
        <v>24</v>
      </c>
      <c r="N85" s="9" t="s">
        <v>25</v>
      </c>
      <c r="O85" s="14">
        <f t="shared" si="1"/>
        <v>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1.5" customHeight="1">
      <c r="A86" s="15">
        <v>82.0</v>
      </c>
      <c r="B86" s="10" t="s">
        <v>254</v>
      </c>
      <c r="C86" s="11" t="s">
        <v>255</v>
      </c>
      <c r="D86" s="12" t="s">
        <v>256</v>
      </c>
      <c r="E86" s="12">
        <v>2024.0</v>
      </c>
      <c r="F86" s="13" t="s">
        <v>19</v>
      </c>
      <c r="G86" s="9"/>
      <c r="H86" s="11" t="s">
        <v>20</v>
      </c>
      <c r="I86" s="15"/>
      <c r="J86" s="9" t="s">
        <v>21</v>
      </c>
      <c r="K86" s="9" t="s">
        <v>22</v>
      </c>
      <c r="L86" s="11" t="s">
        <v>23</v>
      </c>
      <c r="M86" s="11" t="s">
        <v>24</v>
      </c>
      <c r="N86" s="9" t="s">
        <v>25</v>
      </c>
      <c r="O86" s="14">
        <f t="shared" si="1"/>
        <v>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1.5" customHeight="1">
      <c r="A87" s="15">
        <v>83.0</v>
      </c>
      <c r="B87" s="10" t="s">
        <v>257</v>
      </c>
      <c r="C87" s="11" t="s">
        <v>258</v>
      </c>
      <c r="D87" s="12" t="s">
        <v>259</v>
      </c>
      <c r="E87" s="12">
        <v>2024.0</v>
      </c>
      <c r="F87" s="13" t="s">
        <v>19</v>
      </c>
      <c r="G87" s="9"/>
      <c r="H87" s="11" t="s">
        <v>20</v>
      </c>
      <c r="I87" s="15"/>
      <c r="J87" s="9" t="s">
        <v>21</v>
      </c>
      <c r="K87" s="9" t="s">
        <v>22</v>
      </c>
      <c r="L87" s="11" t="s">
        <v>23</v>
      </c>
      <c r="M87" s="11" t="s">
        <v>24</v>
      </c>
      <c r="N87" s="9" t="s">
        <v>25</v>
      </c>
      <c r="O87" s="14">
        <f t="shared" si="1"/>
        <v>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1.5" customHeight="1">
      <c r="A88" s="15">
        <v>84.0</v>
      </c>
      <c r="B88" s="10" t="s">
        <v>260</v>
      </c>
      <c r="C88" s="11" t="s">
        <v>261</v>
      </c>
      <c r="D88" s="12" t="s">
        <v>262</v>
      </c>
      <c r="E88" s="12">
        <v>2024.0</v>
      </c>
      <c r="F88" s="13" t="s">
        <v>19</v>
      </c>
      <c r="G88" s="9"/>
      <c r="H88" s="11" t="s">
        <v>20</v>
      </c>
      <c r="I88" s="15"/>
      <c r="J88" s="9" t="s">
        <v>21</v>
      </c>
      <c r="K88" s="9" t="s">
        <v>22</v>
      </c>
      <c r="L88" s="11" t="s">
        <v>23</v>
      </c>
      <c r="M88" s="11" t="s">
        <v>24</v>
      </c>
      <c r="N88" s="9" t="s">
        <v>25</v>
      </c>
      <c r="O88" s="14">
        <f t="shared" si="1"/>
        <v>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1.5" customHeight="1">
      <c r="A89" s="15">
        <v>85.0</v>
      </c>
      <c r="B89" s="10" t="s">
        <v>263</v>
      </c>
      <c r="C89" s="11" t="s">
        <v>264</v>
      </c>
      <c r="D89" s="12" t="s">
        <v>265</v>
      </c>
      <c r="E89" s="12">
        <v>2024.0</v>
      </c>
      <c r="F89" s="13" t="s">
        <v>19</v>
      </c>
      <c r="G89" s="9"/>
      <c r="H89" s="11" t="s">
        <v>20</v>
      </c>
      <c r="I89" s="15"/>
      <c r="J89" s="9" t="s">
        <v>21</v>
      </c>
      <c r="K89" s="9" t="s">
        <v>22</v>
      </c>
      <c r="L89" s="11" t="s">
        <v>23</v>
      </c>
      <c r="M89" s="11" t="s">
        <v>24</v>
      </c>
      <c r="N89" s="9" t="s">
        <v>25</v>
      </c>
      <c r="O89" s="14">
        <f t="shared" si="1"/>
        <v>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1.5" customHeight="1">
      <c r="A90" s="15">
        <v>86.0</v>
      </c>
      <c r="B90" s="10" t="s">
        <v>266</v>
      </c>
      <c r="C90" s="11" t="s">
        <v>267</v>
      </c>
      <c r="D90" s="12" t="s">
        <v>268</v>
      </c>
      <c r="E90" s="12">
        <v>2024.0</v>
      </c>
      <c r="F90" s="13" t="s">
        <v>19</v>
      </c>
      <c r="G90" s="9"/>
      <c r="H90" s="11" t="s">
        <v>20</v>
      </c>
      <c r="I90" s="15"/>
      <c r="J90" s="9" t="s">
        <v>21</v>
      </c>
      <c r="K90" s="9" t="s">
        <v>22</v>
      </c>
      <c r="L90" s="11" t="s">
        <v>23</v>
      </c>
      <c r="M90" s="11" t="s">
        <v>24</v>
      </c>
      <c r="N90" s="9" t="s">
        <v>25</v>
      </c>
      <c r="O90" s="14">
        <f t="shared" si="1"/>
        <v>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1.5" customHeight="1">
      <c r="A91" s="15">
        <v>87.0</v>
      </c>
      <c r="B91" s="10" t="s">
        <v>269</v>
      </c>
      <c r="C91" s="11" t="s">
        <v>270</v>
      </c>
      <c r="D91" s="12" t="s">
        <v>271</v>
      </c>
      <c r="E91" s="12">
        <v>2024.0</v>
      </c>
      <c r="F91" s="13" t="s">
        <v>19</v>
      </c>
      <c r="G91" s="9"/>
      <c r="H91" s="11" t="s">
        <v>20</v>
      </c>
      <c r="I91" s="15"/>
      <c r="J91" s="9" t="s">
        <v>21</v>
      </c>
      <c r="K91" s="9" t="s">
        <v>22</v>
      </c>
      <c r="L91" s="11" t="s">
        <v>23</v>
      </c>
      <c r="M91" s="11" t="s">
        <v>24</v>
      </c>
      <c r="N91" s="9" t="s">
        <v>25</v>
      </c>
      <c r="O91" s="14">
        <f t="shared" si="1"/>
        <v>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1.5" customHeight="1">
      <c r="A92" s="15">
        <v>88.0</v>
      </c>
      <c r="B92" s="10" t="s">
        <v>272</v>
      </c>
      <c r="C92" s="11" t="s">
        <v>273</v>
      </c>
      <c r="D92" s="12" t="s">
        <v>274</v>
      </c>
      <c r="E92" s="12">
        <v>2024.0</v>
      </c>
      <c r="F92" s="13" t="s">
        <v>19</v>
      </c>
      <c r="G92" s="9"/>
      <c r="H92" s="11" t="s">
        <v>20</v>
      </c>
      <c r="I92" s="15"/>
      <c r="J92" s="9" t="s">
        <v>21</v>
      </c>
      <c r="K92" s="9" t="s">
        <v>22</v>
      </c>
      <c r="L92" s="11" t="s">
        <v>23</v>
      </c>
      <c r="M92" s="11" t="s">
        <v>24</v>
      </c>
      <c r="N92" s="9" t="s">
        <v>25</v>
      </c>
      <c r="O92" s="14">
        <f t="shared" si="1"/>
        <v>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1.5" customHeight="1">
      <c r="A93" s="15">
        <v>89.0</v>
      </c>
      <c r="B93" s="10" t="s">
        <v>275</v>
      </c>
      <c r="C93" s="11" t="s">
        <v>276</v>
      </c>
      <c r="D93" s="12" t="s">
        <v>277</v>
      </c>
      <c r="E93" s="12">
        <v>2024.0</v>
      </c>
      <c r="F93" s="13" t="s">
        <v>19</v>
      </c>
      <c r="G93" s="9"/>
      <c r="H93" s="11" t="s">
        <v>20</v>
      </c>
      <c r="I93" s="15"/>
      <c r="J93" s="9" t="s">
        <v>21</v>
      </c>
      <c r="K93" s="9" t="s">
        <v>22</v>
      </c>
      <c r="L93" s="11" t="s">
        <v>23</v>
      </c>
      <c r="M93" s="11" t="s">
        <v>24</v>
      </c>
      <c r="N93" s="9" t="s">
        <v>25</v>
      </c>
      <c r="O93" s="14">
        <f t="shared" si="1"/>
        <v>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1.5" customHeight="1">
      <c r="A94" s="15">
        <v>90.0</v>
      </c>
      <c r="B94" s="10" t="s">
        <v>278</v>
      </c>
      <c r="C94" s="11" t="s">
        <v>279</v>
      </c>
      <c r="D94" s="12" t="s">
        <v>280</v>
      </c>
      <c r="E94" s="12">
        <v>2024.0</v>
      </c>
      <c r="F94" s="13" t="s">
        <v>19</v>
      </c>
      <c r="G94" s="9"/>
      <c r="H94" s="11" t="s">
        <v>20</v>
      </c>
      <c r="I94" s="15"/>
      <c r="J94" s="9" t="s">
        <v>21</v>
      </c>
      <c r="K94" s="9" t="s">
        <v>22</v>
      </c>
      <c r="L94" s="11" t="s">
        <v>23</v>
      </c>
      <c r="M94" s="11" t="s">
        <v>24</v>
      </c>
      <c r="N94" s="9" t="s">
        <v>25</v>
      </c>
      <c r="O94" s="14">
        <f t="shared" si="1"/>
        <v>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1.5" customHeight="1">
      <c r="A95" s="15">
        <v>91.0</v>
      </c>
      <c r="B95" s="10" t="s">
        <v>281</v>
      </c>
      <c r="C95" s="11" t="s">
        <v>282</v>
      </c>
      <c r="D95" s="12" t="s">
        <v>283</v>
      </c>
      <c r="E95" s="12">
        <v>2023.0</v>
      </c>
      <c r="F95" s="13" t="s">
        <v>19</v>
      </c>
      <c r="G95" s="9"/>
      <c r="H95" s="11" t="s">
        <v>20</v>
      </c>
      <c r="I95" s="15"/>
      <c r="J95" s="9" t="s">
        <v>21</v>
      </c>
      <c r="K95" s="9" t="s">
        <v>22</v>
      </c>
      <c r="L95" s="11" t="s">
        <v>23</v>
      </c>
      <c r="M95" s="11" t="s">
        <v>24</v>
      </c>
      <c r="N95" s="9" t="s">
        <v>25</v>
      </c>
      <c r="O95" s="14">
        <f t="shared" si="1"/>
        <v>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1.5" customHeight="1">
      <c r="A96" s="15">
        <v>92.0</v>
      </c>
      <c r="B96" s="10" t="s">
        <v>284</v>
      </c>
      <c r="C96" s="11" t="s">
        <v>285</v>
      </c>
      <c r="D96" s="12" t="s">
        <v>286</v>
      </c>
      <c r="E96" s="12">
        <v>2024.0</v>
      </c>
      <c r="F96" s="13" t="s">
        <v>19</v>
      </c>
      <c r="G96" s="9"/>
      <c r="H96" s="11" t="s">
        <v>20</v>
      </c>
      <c r="I96" s="15"/>
      <c r="J96" s="9" t="s">
        <v>21</v>
      </c>
      <c r="K96" s="9" t="s">
        <v>22</v>
      </c>
      <c r="L96" s="11" t="s">
        <v>23</v>
      </c>
      <c r="M96" s="11" t="s">
        <v>24</v>
      </c>
      <c r="N96" s="9" t="s">
        <v>25</v>
      </c>
      <c r="O96" s="14">
        <f t="shared" si="1"/>
        <v>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1.5" customHeight="1">
      <c r="A97" s="15">
        <v>93.0</v>
      </c>
      <c r="B97" s="10" t="s">
        <v>287</v>
      </c>
      <c r="C97" s="11" t="s">
        <v>288</v>
      </c>
      <c r="D97" s="12" t="s">
        <v>289</v>
      </c>
      <c r="E97" s="12">
        <v>2024.0</v>
      </c>
      <c r="F97" s="13" t="s">
        <v>19</v>
      </c>
      <c r="G97" s="9"/>
      <c r="H97" s="11" t="s">
        <v>290</v>
      </c>
      <c r="I97" s="9">
        <v>150.0</v>
      </c>
      <c r="J97" s="9" t="s">
        <v>21</v>
      </c>
      <c r="K97" s="9" t="s">
        <v>22</v>
      </c>
      <c r="L97" s="11" t="s">
        <v>23</v>
      </c>
      <c r="M97" s="11" t="s">
        <v>24</v>
      </c>
      <c r="N97" s="9" t="s">
        <v>25</v>
      </c>
      <c r="O97" s="14">
        <f t="shared" si="1"/>
        <v>35000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1.5" customHeight="1">
      <c r="A98" s="15">
        <v>94.0</v>
      </c>
      <c r="B98" s="10" t="s">
        <v>291</v>
      </c>
      <c r="C98" s="11" t="s">
        <v>292</v>
      </c>
      <c r="D98" s="12" t="s">
        <v>293</v>
      </c>
      <c r="E98" s="12">
        <v>2024.0</v>
      </c>
      <c r="F98" s="13" t="s">
        <v>19</v>
      </c>
      <c r="G98" s="9"/>
      <c r="H98" s="11" t="s">
        <v>290</v>
      </c>
      <c r="I98" s="9">
        <v>168.0</v>
      </c>
      <c r="J98" s="9" t="s">
        <v>21</v>
      </c>
      <c r="K98" s="9" t="s">
        <v>22</v>
      </c>
      <c r="L98" s="11" t="s">
        <v>23</v>
      </c>
      <c r="M98" s="11" t="s">
        <v>24</v>
      </c>
      <c r="N98" s="9" t="s">
        <v>25</v>
      </c>
      <c r="O98" s="14">
        <f t="shared" si="1"/>
        <v>38240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1.5" customHeight="1">
      <c r="A99" s="15">
        <v>95.0</v>
      </c>
      <c r="B99" s="10" t="s">
        <v>294</v>
      </c>
      <c r="C99" s="11" t="s">
        <v>295</v>
      </c>
      <c r="D99" s="12" t="s">
        <v>296</v>
      </c>
      <c r="E99" s="12">
        <v>2024.0</v>
      </c>
      <c r="F99" s="13" t="s">
        <v>19</v>
      </c>
      <c r="G99" s="9"/>
      <c r="H99" s="11" t="s">
        <v>107</v>
      </c>
      <c r="I99" s="9">
        <v>104.0</v>
      </c>
      <c r="J99" s="9" t="s">
        <v>21</v>
      </c>
      <c r="K99" s="9" t="s">
        <v>22</v>
      </c>
      <c r="L99" s="11" t="s">
        <v>23</v>
      </c>
      <c r="M99" s="11" t="s">
        <v>24</v>
      </c>
      <c r="N99" s="9" t="s">
        <v>25</v>
      </c>
      <c r="O99" s="14">
        <f t="shared" si="1"/>
        <v>20600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1.5" customHeight="1">
      <c r="A100" s="15">
        <v>96.0</v>
      </c>
      <c r="B100" s="10" t="s">
        <v>297</v>
      </c>
      <c r="C100" s="11" t="s">
        <v>298</v>
      </c>
      <c r="D100" s="12" t="s">
        <v>299</v>
      </c>
      <c r="E100" s="12">
        <v>2024.0</v>
      </c>
      <c r="F100" s="13" t="s">
        <v>19</v>
      </c>
      <c r="G100" s="9"/>
      <c r="H100" s="11" t="s">
        <v>107</v>
      </c>
      <c r="I100" s="9">
        <v>138.0</v>
      </c>
      <c r="J100" s="9" t="s">
        <v>21</v>
      </c>
      <c r="K100" s="9" t="s">
        <v>22</v>
      </c>
      <c r="L100" s="11" t="s">
        <v>23</v>
      </c>
      <c r="M100" s="11" t="s">
        <v>24</v>
      </c>
      <c r="N100" s="9" t="s">
        <v>25</v>
      </c>
      <c r="O100" s="14">
        <f t="shared" si="1"/>
        <v>25700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1.5" customHeight="1">
      <c r="A101" s="15">
        <v>97.0</v>
      </c>
      <c r="B101" s="10" t="s">
        <v>300</v>
      </c>
      <c r="C101" s="11" t="s">
        <v>301</v>
      </c>
      <c r="D101" s="12" t="s">
        <v>302</v>
      </c>
      <c r="E101" s="12">
        <v>2024.0</v>
      </c>
      <c r="F101" s="13" t="s">
        <v>19</v>
      </c>
      <c r="G101" s="9"/>
      <c r="H101" s="11" t="s">
        <v>107</v>
      </c>
      <c r="I101" s="9">
        <v>94.0</v>
      </c>
      <c r="J101" s="9" t="s">
        <v>21</v>
      </c>
      <c r="K101" s="9" t="s">
        <v>22</v>
      </c>
      <c r="L101" s="11" t="s">
        <v>23</v>
      </c>
      <c r="M101" s="11" t="s">
        <v>24</v>
      </c>
      <c r="N101" s="9" t="s">
        <v>25</v>
      </c>
      <c r="O101" s="14">
        <f t="shared" si="1"/>
        <v>19100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1.5" customHeight="1">
      <c r="A102" s="15">
        <v>98.0</v>
      </c>
      <c r="B102" s="10" t="s">
        <v>303</v>
      </c>
      <c r="C102" s="11" t="s">
        <v>304</v>
      </c>
      <c r="D102" s="12" t="s">
        <v>305</v>
      </c>
      <c r="E102" s="12">
        <v>2024.0</v>
      </c>
      <c r="F102" s="13" t="s">
        <v>19</v>
      </c>
      <c r="G102" s="9"/>
      <c r="H102" s="11" t="s">
        <v>20</v>
      </c>
      <c r="I102" s="15"/>
      <c r="J102" s="9" t="s">
        <v>21</v>
      </c>
      <c r="K102" s="9" t="s">
        <v>22</v>
      </c>
      <c r="L102" s="11" t="s">
        <v>23</v>
      </c>
      <c r="M102" s="11" t="s">
        <v>24</v>
      </c>
      <c r="N102" s="9" t="s">
        <v>25</v>
      </c>
      <c r="O102" s="14">
        <f t="shared" si="1"/>
        <v>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1.5" customHeight="1">
      <c r="A103" s="15">
        <v>99.0</v>
      </c>
      <c r="B103" s="10" t="s">
        <v>306</v>
      </c>
      <c r="C103" s="11" t="s">
        <v>307</v>
      </c>
      <c r="D103" s="12" t="s">
        <v>308</v>
      </c>
      <c r="E103" s="12">
        <v>2024.0</v>
      </c>
      <c r="F103" s="13" t="s">
        <v>19</v>
      </c>
      <c r="G103" s="9"/>
      <c r="H103" s="11" t="s">
        <v>20</v>
      </c>
      <c r="I103" s="15"/>
      <c r="J103" s="9" t="s">
        <v>21</v>
      </c>
      <c r="K103" s="9" t="s">
        <v>22</v>
      </c>
      <c r="L103" s="11" t="s">
        <v>23</v>
      </c>
      <c r="M103" s="11" t="s">
        <v>24</v>
      </c>
      <c r="N103" s="9" t="s">
        <v>25</v>
      </c>
      <c r="O103" s="14">
        <f t="shared" si="1"/>
        <v>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1.5" customHeight="1">
      <c r="A104" s="15">
        <v>100.0</v>
      </c>
      <c r="B104" s="10" t="s">
        <v>309</v>
      </c>
      <c r="C104" s="11" t="s">
        <v>310</v>
      </c>
      <c r="D104" s="12" t="s">
        <v>311</v>
      </c>
      <c r="E104" s="12">
        <v>2024.0</v>
      </c>
      <c r="F104" s="13" t="s">
        <v>19</v>
      </c>
      <c r="G104" s="9"/>
      <c r="H104" s="11" t="s">
        <v>20</v>
      </c>
      <c r="I104" s="15"/>
      <c r="J104" s="9" t="s">
        <v>21</v>
      </c>
      <c r="K104" s="9" t="s">
        <v>22</v>
      </c>
      <c r="L104" s="11" t="s">
        <v>23</v>
      </c>
      <c r="M104" s="11" t="s">
        <v>24</v>
      </c>
      <c r="N104" s="9" t="s">
        <v>25</v>
      </c>
      <c r="O104" s="14">
        <f t="shared" si="1"/>
        <v>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1.5" customHeight="1">
      <c r="A105" s="15">
        <v>101.0</v>
      </c>
      <c r="B105" s="10" t="s">
        <v>312</v>
      </c>
      <c r="C105" s="11" t="s">
        <v>313</v>
      </c>
      <c r="D105" s="12" t="s">
        <v>314</v>
      </c>
      <c r="E105" s="12">
        <v>2024.0</v>
      </c>
      <c r="F105" s="13" t="s">
        <v>19</v>
      </c>
      <c r="G105" s="9"/>
      <c r="H105" s="11" t="s">
        <v>20</v>
      </c>
      <c r="I105" s="15"/>
      <c r="J105" s="9" t="s">
        <v>21</v>
      </c>
      <c r="K105" s="9" t="s">
        <v>22</v>
      </c>
      <c r="L105" s="11" t="s">
        <v>23</v>
      </c>
      <c r="M105" s="11" t="s">
        <v>24</v>
      </c>
      <c r="N105" s="9" t="s">
        <v>25</v>
      </c>
      <c r="O105" s="14">
        <f t="shared" si="1"/>
        <v>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1.5" customHeight="1">
      <c r="A106" s="15">
        <v>102.0</v>
      </c>
      <c r="B106" s="10" t="s">
        <v>315</v>
      </c>
      <c r="C106" s="11" t="s">
        <v>316</v>
      </c>
      <c r="D106" s="12" t="s">
        <v>317</v>
      </c>
      <c r="E106" s="12">
        <v>2024.0</v>
      </c>
      <c r="F106" s="13" t="s">
        <v>19</v>
      </c>
      <c r="G106" s="9"/>
      <c r="H106" s="11" t="s">
        <v>20</v>
      </c>
      <c r="I106" s="15"/>
      <c r="J106" s="9" t="s">
        <v>21</v>
      </c>
      <c r="K106" s="9" t="s">
        <v>22</v>
      </c>
      <c r="L106" s="11" t="s">
        <v>23</v>
      </c>
      <c r="M106" s="11" t="s">
        <v>24</v>
      </c>
      <c r="N106" s="9" t="s">
        <v>25</v>
      </c>
      <c r="O106" s="14">
        <f t="shared" si="1"/>
        <v>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1.5" customHeight="1">
      <c r="A107" s="15">
        <v>103.0</v>
      </c>
      <c r="B107" s="10" t="s">
        <v>318</v>
      </c>
      <c r="C107" s="11" t="s">
        <v>319</v>
      </c>
      <c r="D107" s="12" t="s">
        <v>320</v>
      </c>
      <c r="E107" s="12">
        <v>2024.0</v>
      </c>
      <c r="F107" s="13" t="s">
        <v>19</v>
      </c>
      <c r="G107" s="9"/>
      <c r="H107" s="11" t="s">
        <v>20</v>
      </c>
      <c r="I107" s="15"/>
      <c r="J107" s="9" t="s">
        <v>21</v>
      </c>
      <c r="K107" s="9" t="s">
        <v>22</v>
      </c>
      <c r="L107" s="11" t="s">
        <v>23</v>
      </c>
      <c r="M107" s="11" t="s">
        <v>24</v>
      </c>
      <c r="N107" s="9" t="s">
        <v>25</v>
      </c>
      <c r="O107" s="14">
        <f t="shared" si="1"/>
        <v>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1.5" customHeight="1">
      <c r="A108" s="15">
        <v>104.0</v>
      </c>
      <c r="B108" s="10" t="s">
        <v>321</v>
      </c>
      <c r="C108" s="11" t="s">
        <v>322</v>
      </c>
      <c r="D108" s="12" t="s">
        <v>323</v>
      </c>
      <c r="E108" s="12">
        <v>2024.0</v>
      </c>
      <c r="F108" s="13" t="s">
        <v>19</v>
      </c>
      <c r="G108" s="9"/>
      <c r="H108" s="11" t="s">
        <v>20</v>
      </c>
      <c r="I108" s="15"/>
      <c r="J108" s="9" t="s">
        <v>21</v>
      </c>
      <c r="K108" s="9" t="s">
        <v>22</v>
      </c>
      <c r="L108" s="11" t="s">
        <v>23</v>
      </c>
      <c r="M108" s="11" t="s">
        <v>24</v>
      </c>
      <c r="N108" s="9" t="s">
        <v>25</v>
      </c>
      <c r="O108" s="14">
        <f t="shared" si="1"/>
        <v>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1.5" customHeight="1">
      <c r="A109" s="15">
        <v>105.0</v>
      </c>
      <c r="B109" s="10" t="s">
        <v>324</v>
      </c>
      <c r="C109" s="11" t="s">
        <v>325</v>
      </c>
      <c r="D109" s="12" t="s">
        <v>326</v>
      </c>
      <c r="E109" s="12">
        <v>2024.0</v>
      </c>
      <c r="F109" s="13" t="s">
        <v>19</v>
      </c>
      <c r="G109" s="9"/>
      <c r="H109" s="11" t="s">
        <v>20</v>
      </c>
      <c r="I109" s="15"/>
      <c r="J109" s="9" t="s">
        <v>21</v>
      </c>
      <c r="K109" s="9" t="s">
        <v>22</v>
      </c>
      <c r="L109" s="11" t="s">
        <v>23</v>
      </c>
      <c r="M109" s="11" t="s">
        <v>24</v>
      </c>
      <c r="N109" s="9" t="s">
        <v>25</v>
      </c>
      <c r="O109" s="14">
        <f t="shared" si="1"/>
        <v>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1.5" customHeight="1">
      <c r="A110" s="15">
        <v>106.0</v>
      </c>
      <c r="B110" s="10" t="s">
        <v>327</v>
      </c>
      <c r="C110" s="11" t="s">
        <v>328</v>
      </c>
      <c r="D110" s="12" t="s">
        <v>329</v>
      </c>
      <c r="E110" s="12">
        <v>2024.0</v>
      </c>
      <c r="F110" s="13" t="s">
        <v>19</v>
      </c>
      <c r="G110" s="9"/>
      <c r="H110" s="11" t="s">
        <v>107</v>
      </c>
      <c r="I110" s="9">
        <v>370.0</v>
      </c>
      <c r="J110" s="9" t="s">
        <v>21</v>
      </c>
      <c r="K110" s="9" t="s">
        <v>22</v>
      </c>
      <c r="L110" s="11" t="s">
        <v>23</v>
      </c>
      <c r="M110" s="11" t="s">
        <v>24</v>
      </c>
      <c r="N110" s="9" t="s">
        <v>25</v>
      </c>
      <c r="O110" s="14">
        <f t="shared" si="1"/>
        <v>60500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1.5" customHeight="1">
      <c r="A111" s="15">
        <v>107.0</v>
      </c>
      <c r="B111" s="10" t="s">
        <v>330</v>
      </c>
      <c r="C111" s="11" t="s">
        <v>331</v>
      </c>
      <c r="D111" s="12" t="s">
        <v>332</v>
      </c>
      <c r="E111" s="12">
        <v>2023.0</v>
      </c>
      <c r="F111" s="13" t="s">
        <v>19</v>
      </c>
      <c r="G111" s="9"/>
      <c r="H111" s="11" t="s">
        <v>20</v>
      </c>
      <c r="I111" s="15"/>
      <c r="J111" s="9" t="s">
        <v>21</v>
      </c>
      <c r="K111" s="9" t="s">
        <v>22</v>
      </c>
      <c r="L111" s="11" t="s">
        <v>23</v>
      </c>
      <c r="M111" s="11" t="s">
        <v>24</v>
      </c>
      <c r="N111" s="9" t="s">
        <v>25</v>
      </c>
      <c r="O111" s="14">
        <f t="shared" si="1"/>
        <v>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1.5" customHeight="1">
      <c r="A112" s="15">
        <v>108.0</v>
      </c>
      <c r="B112" s="10" t="s">
        <v>333</v>
      </c>
      <c r="C112" s="11" t="s">
        <v>334</v>
      </c>
      <c r="D112" s="12" t="s">
        <v>335</v>
      </c>
      <c r="E112" s="12">
        <v>2023.0</v>
      </c>
      <c r="F112" s="13" t="s">
        <v>19</v>
      </c>
      <c r="G112" s="9"/>
      <c r="H112" s="11" t="s">
        <v>20</v>
      </c>
      <c r="I112" s="15"/>
      <c r="J112" s="9" t="s">
        <v>21</v>
      </c>
      <c r="K112" s="9" t="s">
        <v>22</v>
      </c>
      <c r="L112" s="11" t="s">
        <v>23</v>
      </c>
      <c r="M112" s="11" t="s">
        <v>24</v>
      </c>
      <c r="N112" s="9" t="s">
        <v>25</v>
      </c>
      <c r="O112" s="14">
        <f t="shared" si="1"/>
        <v>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1.5" customHeight="1">
      <c r="A113" s="15">
        <v>109.0</v>
      </c>
      <c r="B113" s="10" t="s">
        <v>336</v>
      </c>
      <c r="C113" s="11" t="s">
        <v>337</v>
      </c>
      <c r="D113" s="12" t="s">
        <v>338</v>
      </c>
      <c r="E113" s="12">
        <v>2023.0</v>
      </c>
      <c r="F113" s="13" t="s">
        <v>19</v>
      </c>
      <c r="G113" s="9"/>
      <c r="H113" s="11" t="s">
        <v>20</v>
      </c>
      <c r="I113" s="15"/>
      <c r="J113" s="9" t="s">
        <v>21</v>
      </c>
      <c r="K113" s="9" t="s">
        <v>22</v>
      </c>
      <c r="L113" s="11" t="s">
        <v>23</v>
      </c>
      <c r="M113" s="11" t="s">
        <v>24</v>
      </c>
      <c r="N113" s="9" t="s">
        <v>25</v>
      </c>
      <c r="O113" s="14">
        <f t="shared" si="1"/>
        <v>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1.5" customHeight="1">
      <c r="A114" s="15">
        <v>110.0</v>
      </c>
      <c r="B114" s="10" t="s">
        <v>339</v>
      </c>
      <c r="C114" s="11" t="s">
        <v>340</v>
      </c>
      <c r="D114" s="12" t="s">
        <v>341</v>
      </c>
      <c r="E114" s="12">
        <v>2023.0</v>
      </c>
      <c r="F114" s="13" t="s">
        <v>19</v>
      </c>
      <c r="G114" s="9"/>
      <c r="H114" s="11" t="s">
        <v>290</v>
      </c>
      <c r="I114" s="9">
        <v>84.0</v>
      </c>
      <c r="J114" s="9" t="s">
        <v>21</v>
      </c>
      <c r="K114" s="9" t="s">
        <v>22</v>
      </c>
      <c r="L114" s="11" t="s">
        <v>23</v>
      </c>
      <c r="M114" s="11" t="s">
        <v>24</v>
      </c>
      <c r="N114" s="9" t="s">
        <v>25</v>
      </c>
      <c r="O114" s="14">
        <f t="shared" si="1"/>
        <v>23120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1.5" customHeight="1">
      <c r="A115" s="15">
        <v>111.0</v>
      </c>
      <c r="B115" s="10" t="s">
        <v>342</v>
      </c>
      <c r="C115" s="11" t="s">
        <v>343</v>
      </c>
      <c r="D115" s="12" t="s">
        <v>344</v>
      </c>
      <c r="E115" s="12">
        <v>2023.0</v>
      </c>
      <c r="F115" s="13" t="s">
        <v>19</v>
      </c>
      <c r="G115" s="9"/>
      <c r="H115" s="11" t="s">
        <v>20</v>
      </c>
      <c r="I115" s="15"/>
      <c r="J115" s="9" t="s">
        <v>21</v>
      </c>
      <c r="K115" s="9" t="s">
        <v>22</v>
      </c>
      <c r="L115" s="11" t="s">
        <v>23</v>
      </c>
      <c r="M115" s="11" t="s">
        <v>24</v>
      </c>
      <c r="N115" s="9" t="s">
        <v>25</v>
      </c>
      <c r="O115" s="14">
        <f t="shared" si="1"/>
        <v>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1.5" customHeight="1">
      <c r="A116" s="15">
        <v>112.0</v>
      </c>
      <c r="B116" s="10" t="s">
        <v>345</v>
      </c>
      <c r="C116" s="11" t="s">
        <v>346</v>
      </c>
      <c r="D116" s="12" t="s">
        <v>347</v>
      </c>
      <c r="E116" s="12">
        <v>2023.0</v>
      </c>
      <c r="F116" s="13" t="s">
        <v>19</v>
      </c>
      <c r="G116" s="9"/>
      <c r="H116" s="11" t="s">
        <v>107</v>
      </c>
      <c r="I116" s="9">
        <v>402.0</v>
      </c>
      <c r="J116" s="9" t="s">
        <v>21</v>
      </c>
      <c r="K116" s="9" t="s">
        <v>22</v>
      </c>
      <c r="L116" s="11" t="s">
        <v>23</v>
      </c>
      <c r="M116" s="11" t="s">
        <v>24</v>
      </c>
      <c r="N116" s="9" t="s">
        <v>25</v>
      </c>
      <c r="O116" s="14">
        <f t="shared" si="1"/>
        <v>65300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1.5" customHeight="1">
      <c r="A117" s="15">
        <v>113.0</v>
      </c>
      <c r="B117" s="10" t="s">
        <v>348</v>
      </c>
      <c r="C117" s="11" t="s">
        <v>349</v>
      </c>
      <c r="D117" s="12" t="s">
        <v>350</v>
      </c>
      <c r="E117" s="12">
        <v>2023.0</v>
      </c>
      <c r="F117" s="13" t="s">
        <v>19</v>
      </c>
      <c r="G117" s="9"/>
      <c r="H117" s="11" t="s">
        <v>20</v>
      </c>
      <c r="I117" s="15"/>
      <c r="J117" s="9" t="s">
        <v>21</v>
      </c>
      <c r="K117" s="9" t="s">
        <v>22</v>
      </c>
      <c r="L117" s="11" t="s">
        <v>23</v>
      </c>
      <c r="M117" s="11" t="s">
        <v>24</v>
      </c>
      <c r="N117" s="9" t="s">
        <v>25</v>
      </c>
      <c r="O117" s="14">
        <f t="shared" si="1"/>
        <v>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1.5" customHeight="1">
      <c r="A118" s="15">
        <v>114.0</v>
      </c>
      <c r="B118" s="10" t="s">
        <v>351</v>
      </c>
      <c r="C118" s="11" t="s">
        <v>352</v>
      </c>
      <c r="D118" s="12" t="s">
        <v>353</v>
      </c>
      <c r="E118" s="12">
        <v>2023.0</v>
      </c>
      <c r="F118" s="13" t="s">
        <v>19</v>
      </c>
      <c r="G118" s="9"/>
      <c r="H118" s="11" t="s">
        <v>107</v>
      </c>
      <c r="I118" s="9">
        <v>146.0</v>
      </c>
      <c r="J118" s="9" t="s">
        <v>21</v>
      </c>
      <c r="K118" s="9" t="s">
        <v>22</v>
      </c>
      <c r="L118" s="11" t="s">
        <v>23</v>
      </c>
      <c r="M118" s="11" t="s">
        <v>24</v>
      </c>
      <c r="N118" s="9" t="s">
        <v>25</v>
      </c>
      <c r="O118" s="14">
        <f t="shared" si="1"/>
        <v>26900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1.5" customHeight="1">
      <c r="A119" s="15">
        <v>115.0</v>
      </c>
      <c r="B119" s="10" t="s">
        <v>354</v>
      </c>
      <c r="C119" s="11" t="s">
        <v>355</v>
      </c>
      <c r="D119" s="12" t="s">
        <v>356</v>
      </c>
      <c r="E119" s="12">
        <v>2023.0</v>
      </c>
      <c r="F119" s="13" t="s">
        <v>19</v>
      </c>
      <c r="G119" s="9"/>
      <c r="H119" s="11" t="s">
        <v>107</v>
      </c>
      <c r="I119" s="9">
        <v>69.0</v>
      </c>
      <c r="J119" s="9" t="s">
        <v>21</v>
      </c>
      <c r="K119" s="9" t="s">
        <v>22</v>
      </c>
      <c r="L119" s="11" t="s">
        <v>23</v>
      </c>
      <c r="M119" s="11" t="s">
        <v>24</v>
      </c>
      <c r="N119" s="9" t="s">
        <v>25</v>
      </c>
      <c r="O119" s="14">
        <f t="shared" si="1"/>
        <v>15350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1.5" customHeight="1">
      <c r="A120" s="15">
        <v>116.0</v>
      </c>
      <c r="B120" s="10" t="s">
        <v>357</v>
      </c>
      <c r="C120" s="11" t="s">
        <v>358</v>
      </c>
      <c r="D120" s="12" t="s">
        <v>359</v>
      </c>
      <c r="E120" s="12">
        <v>2023.0</v>
      </c>
      <c r="F120" s="13" t="s">
        <v>19</v>
      </c>
      <c r="G120" s="9" t="s">
        <v>360</v>
      </c>
      <c r="H120" s="11" t="s">
        <v>107</v>
      </c>
      <c r="I120" s="9">
        <v>245.0</v>
      </c>
      <c r="J120" s="9" t="s">
        <v>21</v>
      </c>
      <c r="K120" s="9" t="s">
        <v>22</v>
      </c>
      <c r="L120" s="11" t="s">
        <v>23</v>
      </c>
      <c r="M120" s="11" t="s">
        <v>24</v>
      </c>
      <c r="N120" s="9" t="s">
        <v>25</v>
      </c>
      <c r="O120" s="14">
        <f t="shared" si="1"/>
        <v>41750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1.5" customHeight="1">
      <c r="A121" s="15">
        <v>117.0</v>
      </c>
      <c r="B121" s="10" t="s">
        <v>361</v>
      </c>
      <c r="C121" s="11" t="s">
        <v>362</v>
      </c>
      <c r="D121" s="12" t="s">
        <v>363</v>
      </c>
      <c r="E121" s="12">
        <v>2023.0</v>
      </c>
      <c r="F121" s="13" t="s">
        <v>19</v>
      </c>
      <c r="G121" s="9"/>
      <c r="H121" s="11" t="s">
        <v>107</v>
      </c>
      <c r="I121" s="9">
        <v>77.0</v>
      </c>
      <c r="J121" s="9" t="s">
        <v>21</v>
      </c>
      <c r="K121" s="9" t="s">
        <v>22</v>
      </c>
      <c r="L121" s="11" t="s">
        <v>23</v>
      </c>
      <c r="M121" s="11" t="s">
        <v>24</v>
      </c>
      <c r="N121" s="9" t="s">
        <v>25</v>
      </c>
      <c r="O121" s="14">
        <f t="shared" si="1"/>
        <v>16550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1.5" customHeight="1">
      <c r="A122" s="15">
        <v>118.0</v>
      </c>
      <c r="B122" s="10" t="s">
        <v>364</v>
      </c>
      <c r="C122" s="11" t="s">
        <v>365</v>
      </c>
      <c r="D122" s="12" t="s">
        <v>366</v>
      </c>
      <c r="E122" s="12">
        <v>2023.0</v>
      </c>
      <c r="F122" s="13" t="s">
        <v>19</v>
      </c>
      <c r="G122" s="9"/>
      <c r="H122" s="11" t="s">
        <v>290</v>
      </c>
      <c r="I122" s="9">
        <v>80.0</v>
      </c>
      <c r="J122" s="9" t="s">
        <v>21</v>
      </c>
      <c r="K122" s="9" t="s">
        <v>22</v>
      </c>
      <c r="L122" s="11" t="s">
        <v>23</v>
      </c>
      <c r="M122" s="11" t="s">
        <v>24</v>
      </c>
      <c r="N122" s="9" t="s">
        <v>25</v>
      </c>
      <c r="O122" s="14">
        <f t="shared" si="1"/>
        <v>22400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1.5" customHeight="1">
      <c r="A123" s="15">
        <v>119.0</v>
      </c>
      <c r="B123" s="10" t="s">
        <v>367</v>
      </c>
      <c r="C123" s="11" t="s">
        <v>368</v>
      </c>
      <c r="D123" s="12" t="s">
        <v>369</v>
      </c>
      <c r="E123" s="12">
        <v>2023.0</v>
      </c>
      <c r="F123" s="13" t="s">
        <v>19</v>
      </c>
      <c r="G123" s="9"/>
      <c r="H123" s="11" t="s">
        <v>290</v>
      </c>
      <c r="I123" s="9">
        <v>76.0</v>
      </c>
      <c r="J123" s="9" t="s">
        <v>21</v>
      </c>
      <c r="K123" s="9" t="s">
        <v>22</v>
      </c>
      <c r="L123" s="11" t="s">
        <v>23</v>
      </c>
      <c r="M123" s="11" t="s">
        <v>24</v>
      </c>
      <c r="N123" s="9" t="s">
        <v>25</v>
      </c>
      <c r="O123" s="14">
        <f t="shared" si="1"/>
        <v>21680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1.5" customHeight="1">
      <c r="A124" s="15">
        <v>120.0</v>
      </c>
      <c r="B124" s="10" t="s">
        <v>370</v>
      </c>
      <c r="C124" s="11" t="s">
        <v>371</v>
      </c>
      <c r="D124" s="12" t="s">
        <v>372</v>
      </c>
      <c r="E124" s="12">
        <v>2023.0</v>
      </c>
      <c r="F124" s="13" t="s">
        <v>19</v>
      </c>
      <c r="G124" s="9"/>
      <c r="H124" s="11" t="s">
        <v>20</v>
      </c>
      <c r="I124" s="15"/>
      <c r="J124" s="9" t="s">
        <v>21</v>
      </c>
      <c r="K124" s="9" t="s">
        <v>22</v>
      </c>
      <c r="L124" s="11" t="s">
        <v>23</v>
      </c>
      <c r="M124" s="11" t="s">
        <v>24</v>
      </c>
      <c r="N124" s="9" t="s">
        <v>25</v>
      </c>
      <c r="O124" s="14">
        <f t="shared" si="1"/>
        <v>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1.5" customHeight="1">
      <c r="A125" s="15">
        <v>121.0</v>
      </c>
      <c r="B125" s="10" t="s">
        <v>373</v>
      </c>
      <c r="C125" s="11" t="s">
        <v>267</v>
      </c>
      <c r="D125" s="12" t="s">
        <v>374</v>
      </c>
      <c r="E125" s="12">
        <v>2023.0</v>
      </c>
      <c r="F125" s="13" t="s">
        <v>19</v>
      </c>
      <c r="G125" s="9"/>
      <c r="H125" s="11" t="s">
        <v>20</v>
      </c>
      <c r="I125" s="15"/>
      <c r="J125" s="9" t="s">
        <v>21</v>
      </c>
      <c r="K125" s="9" t="s">
        <v>22</v>
      </c>
      <c r="L125" s="11" t="s">
        <v>23</v>
      </c>
      <c r="M125" s="11" t="s">
        <v>24</v>
      </c>
      <c r="N125" s="9" t="s">
        <v>25</v>
      </c>
      <c r="O125" s="14">
        <f t="shared" si="1"/>
        <v>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1.5" customHeight="1">
      <c r="A126" s="15">
        <v>122.0</v>
      </c>
      <c r="B126" s="10" t="s">
        <v>375</v>
      </c>
      <c r="C126" s="11" t="s">
        <v>376</v>
      </c>
      <c r="D126" s="12" t="s">
        <v>377</v>
      </c>
      <c r="E126" s="12">
        <v>2023.0</v>
      </c>
      <c r="F126" s="13" t="s">
        <v>19</v>
      </c>
      <c r="G126" s="9"/>
      <c r="H126" s="11" t="s">
        <v>290</v>
      </c>
      <c r="I126" s="9">
        <v>304.0</v>
      </c>
      <c r="J126" s="9" t="s">
        <v>21</v>
      </c>
      <c r="K126" s="9" t="s">
        <v>22</v>
      </c>
      <c r="L126" s="11" t="s">
        <v>23</v>
      </c>
      <c r="M126" s="11" t="s">
        <v>24</v>
      </c>
      <c r="N126" s="9" t="s">
        <v>25</v>
      </c>
      <c r="O126" s="14">
        <f t="shared" si="1"/>
        <v>62720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1.5" customHeight="1">
      <c r="A127" s="15">
        <v>123.0</v>
      </c>
      <c r="B127" s="10" t="s">
        <v>378</v>
      </c>
      <c r="C127" s="11" t="s">
        <v>379</v>
      </c>
      <c r="D127" s="12" t="s">
        <v>380</v>
      </c>
      <c r="E127" s="12">
        <v>2023.0</v>
      </c>
      <c r="F127" s="13" t="s">
        <v>19</v>
      </c>
      <c r="G127" s="9"/>
      <c r="H127" s="11" t="s">
        <v>290</v>
      </c>
      <c r="I127" s="9">
        <v>227.0</v>
      </c>
      <c r="J127" s="9" t="s">
        <v>21</v>
      </c>
      <c r="K127" s="9" t="s">
        <v>22</v>
      </c>
      <c r="L127" s="11" t="s">
        <v>23</v>
      </c>
      <c r="M127" s="11" t="s">
        <v>24</v>
      </c>
      <c r="N127" s="9" t="s">
        <v>25</v>
      </c>
      <c r="O127" s="14">
        <f t="shared" si="1"/>
        <v>48860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1.5" customHeight="1">
      <c r="A128" s="15">
        <v>124.0</v>
      </c>
      <c r="B128" s="10" t="s">
        <v>381</v>
      </c>
      <c r="C128" s="11" t="s">
        <v>382</v>
      </c>
      <c r="D128" s="12" t="s">
        <v>383</v>
      </c>
      <c r="E128" s="12">
        <v>2023.0</v>
      </c>
      <c r="F128" s="13" t="s">
        <v>19</v>
      </c>
      <c r="G128" s="9"/>
      <c r="H128" s="11" t="s">
        <v>107</v>
      </c>
      <c r="I128" s="9">
        <v>139.0</v>
      </c>
      <c r="J128" s="9" t="s">
        <v>21</v>
      </c>
      <c r="K128" s="9" t="s">
        <v>22</v>
      </c>
      <c r="L128" s="11" t="s">
        <v>23</v>
      </c>
      <c r="M128" s="11" t="s">
        <v>24</v>
      </c>
      <c r="N128" s="9" t="s">
        <v>25</v>
      </c>
      <c r="O128" s="14">
        <f t="shared" si="1"/>
        <v>25850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1.5" customHeight="1">
      <c r="A129" s="15">
        <v>125.0</v>
      </c>
      <c r="B129" s="10" t="s">
        <v>384</v>
      </c>
      <c r="C129" s="11" t="s">
        <v>385</v>
      </c>
      <c r="D129" s="12" t="s">
        <v>386</v>
      </c>
      <c r="E129" s="12">
        <v>2023.0</v>
      </c>
      <c r="F129" s="13" t="s">
        <v>19</v>
      </c>
      <c r="G129" s="9"/>
      <c r="H129" s="11" t="s">
        <v>20</v>
      </c>
      <c r="I129" s="15"/>
      <c r="J129" s="9" t="s">
        <v>21</v>
      </c>
      <c r="K129" s="9" t="s">
        <v>22</v>
      </c>
      <c r="L129" s="11" t="s">
        <v>23</v>
      </c>
      <c r="M129" s="11" t="s">
        <v>24</v>
      </c>
      <c r="N129" s="9" t="s">
        <v>25</v>
      </c>
      <c r="O129" s="14">
        <f t="shared" si="1"/>
        <v>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1.5" customHeight="1">
      <c r="A130" s="15">
        <v>126.0</v>
      </c>
      <c r="B130" s="10" t="s">
        <v>387</v>
      </c>
      <c r="C130" s="11" t="s">
        <v>388</v>
      </c>
      <c r="D130" s="12" t="s">
        <v>389</v>
      </c>
      <c r="E130" s="12">
        <v>2023.0</v>
      </c>
      <c r="F130" s="13" t="s">
        <v>19</v>
      </c>
      <c r="G130" s="9"/>
      <c r="H130" s="11" t="s">
        <v>107</v>
      </c>
      <c r="I130" s="9">
        <v>157.0</v>
      </c>
      <c r="J130" s="9" t="s">
        <v>21</v>
      </c>
      <c r="K130" s="9" t="s">
        <v>22</v>
      </c>
      <c r="L130" s="11" t="s">
        <v>23</v>
      </c>
      <c r="M130" s="11" t="s">
        <v>24</v>
      </c>
      <c r="N130" s="9" t="s">
        <v>25</v>
      </c>
      <c r="O130" s="14">
        <f t="shared" si="1"/>
        <v>28550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1.5" customHeight="1">
      <c r="A131" s="15">
        <v>127.0</v>
      </c>
      <c r="B131" s="10" t="s">
        <v>390</v>
      </c>
      <c r="C131" s="11" t="s">
        <v>391</v>
      </c>
      <c r="D131" s="12" t="s">
        <v>392</v>
      </c>
      <c r="E131" s="12">
        <v>2023.0</v>
      </c>
      <c r="F131" s="13" t="s">
        <v>19</v>
      </c>
      <c r="G131" s="9"/>
      <c r="H131" s="11" t="s">
        <v>107</v>
      </c>
      <c r="I131" s="9">
        <v>171.0</v>
      </c>
      <c r="J131" s="9" t="s">
        <v>21</v>
      </c>
      <c r="K131" s="9" t="s">
        <v>22</v>
      </c>
      <c r="L131" s="11" t="s">
        <v>23</v>
      </c>
      <c r="M131" s="11" t="s">
        <v>24</v>
      </c>
      <c r="N131" s="9" t="s">
        <v>25</v>
      </c>
      <c r="O131" s="14">
        <f t="shared" si="1"/>
        <v>30650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1.5" customHeight="1">
      <c r="A132" s="15">
        <v>128.0</v>
      </c>
      <c r="B132" s="10" t="s">
        <v>393</v>
      </c>
      <c r="C132" s="11" t="s">
        <v>394</v>
      </c>
      <c r="D132" s="12" t="s">
        <v>395</v>
      </c>
      <c r="E132" s="12">
        <v>2023.0</v>
      </c>
      <c r="F132" s="13" t="s">
        <v>19</v>
      </c>
      <c r="G132" s="9"/>
      <c r="H132" s="11" t="s">
        <v>107</v>
      </c>
      <c r="I132" s="9">
        <v>217.0</v>
      </c>
      <c r="J132" s="9" t="s">
        <v>21</v>
      </c>
      <c r="K132" s="9" t="s">
        <v>22</v>
      </c>
      <c r="L132" s="11" t="s">
        <v>23</v>
      </c>
      <c r="M132" s="11" t="s">
        <v>24</v>
      </c>
      <c r="N132" s="9" t="s">
        <v>25</v>
      </c>
      <c r="O132" s="14">
        <f t="shared" si="1"/>
        <v>37550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1.5" customHeight="1">
      <c r="A133" s="15">
        <v>129.0</v>
      </c>
      <c r="B133" s="10" t="s">
        <v>396</v>
      </c>
      <c r="C133" s="11" t="s">
        <v>397</v>
      </c>
      <c r="D133" s="12" t="s">
        <v>398</v>
      </c>
      <c r="E133" s="12">
        <v>2023.0</v>
      </c>
      <c r="F133" s="13" t="s">
        <v>19</v>
      </c>
      <c r="G133" s="9"/>
      <c r="H133" s="11" t="s">
        <v>107</v>
      </c>
      <c r="I133" s="9">
        <v>187.0</v>
      </c>
      <c r="J133" s="9" t="s">
        <v>21</v>
      </c>
      <c r="K133" s="9" t="s">
        <v>22</v>
      </c>
      <c r="L133" s="11" t="s">
        <v>23</v>
      </c>
      <c r="M133" s="11" t="s">
        <v>24</v>
      </c>
      <c r="N133" s="9" t="s">
        <v>25</v>
      </c>
      <c r="O133" s="14">
        <f t="shared" si="1"/>
        <v>33050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1.5" customHeight="1">
      <c r="A134" s="15">
        <v>130.0</v>
      </c>
      <c r="B134" s="10" t="s">
        <v>399</v>
      </c>
      <c r="C134" s="11" t="s">
        <v>400</v>
      </c>
      <c r="D134" s="12" t="s">
        <v>401</v>
      </c>
      <c r="E134" s="12">
        <v>2023.0</v>
      </c>
      <c r="F134" s="13" t="s">
        <v>19</v>
      </c>
      <c r="G134" s="9"/>
      <c r="H134" s="11" t="s">
        <v>107</v>
      </c>
      <c r="I134" s="9">
        <v>115.0</v>
      </c>
      <c r="J134" s="9" t="s">
        <v>21</v>
      </c>
      <c r="K134" s="9" t="s">
        <v>22</v>
      </c>
      <c r="L134" s="11" t="s">
        <v>23</v>
      </c>
      <c r="M134" s="11" t="s">
        <v>24</v>
      </c>
      <c r="N134" s="9" t="s">
        <v>25</v>
      </c>
      <c r="O134" s="14">
        <f t="shared" si="1"/>
        <v>22250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1.5" customHeight="1">
      <c r="A135" s="15">
        <v>131.0</v>
      </c>
      <c r="B135" s="10" t="s">
        <v>402</v>
      </c>
      <c r="C135" s="11" t="s">
        <v>403</v>
      </c>
      <c r="D135" s="12" t="s">
        <v>404</v>
      </c>
      <c r="E135" s="12">
        <v>2023.0</v>
      </c>
      <c r="F135" s="13" t="s">
        <v>19</v>
      </c>
      <c r="G135" s="9"/>
      <c r="H135" s="11" t="s">
        <v>107</v>
      </c>
      <c r="I135" s="9">
        <v>143.0</v>
      </c>
      <c r="J135" s="9" t="s">
        <v>21</v>
      </c>
      <c r="K135" s="9" t="s">
        <v>22</v>
      </c>
      <c r="L135" s="11" t="s">
        <v>23</v>
      </c>
      <c r="M135" s="11" t="s">
        <v>24</v>
      </c>
      <c r="N135" s="9" t="s">
        <v>25</v>
      </c>
      <c r="O135" s="14">
        <f t="shared" si="1"/>
        <v>26450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1.5" customHeight="1">
      <c r="A136" s="15">
        <v>132.0</v>
      </c>
      <c r="B136" s="10" t="s">
        <v>405</v>
      </c>
      <c r="C136" s="11" t="s">
        <v>406</v>
      </c>
      <c r="D136" s="12" t="s">
        <v>407</v>
      </c>
      <c r="E136" s="12">
        <v>2023.0</v>
      </c>
      <c r="F136" s="13" t="s">
        <v>19</v>
      </c>
      <c r="G136" s="9"/>
      <c r="H136" s="11" t="s">
        <v>290</v>
      </c>
      <c r="I136" s="9">
        <v>108.0</v>
      </c>
      <c r="J136" s="9" t="s">
        <v>21</v>
      </c>
      <c r="K136" s="9" t="s">
        <v>22</v>
      </c>
      <c r="L136" s="11" t="s">
        <v>23</v>
      </c>
      <c r="M136" s="11" t="s">
        <v>24</v>
      </c>
      <c r="N136" s="9" t="s">
        <v>25</v>
      </c>
      <c r="O136" s="14">
        <f t="shared" si="1"/>
        <v>27440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1.5" customHeight="1">
      <c r="A137" s="15">
        <v>133.0</v>
      </c>
      <c r="B137" s="10" t="s">
        <v>408</v>
      </c>
      <c r="C137" s="11" t="s">
        <v>409</v>
      </c>
      <c r="D137" s="12" t="s">
        <v>410</v>
      </c>
      <c r="E137" s="12">
        <v>2023.0</v>
      </c>
      <c r="F137" s="13" t="s">
        <v>19</v>
      </c>
      <c r="G137" s="9"/>
      <c r="H137" s="11" t="s">
        <v>290</v>
      </c>
      <c r="I137" s="9">
        <v>122.0</v>
      </c>
      <c r="J137" s="9" t="s">
        <v>21</v>
      </c>
      <c r="K137" s="9" t="s">
        <v>22</v>
      </c>
      <c r="L137" s="11" t="s">
        <v>23</v>
      </c>
      <c r="M137" s="11" t="s">
        <v>24</v>
      </c>
      <c r="N137" s="9" t="s">
        <v>25</v>
      </c>
      <c r="O137" s="14">
        <f t="shared" si="1"/>
        <v>29960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1.5" customHeight="1">
      <c r="A138" s="15">
        <v>134.0</v>
      </c>
      <c r="B138" s="10" t="s">
        <v>411</v>
      </c>
      <c r="C138" s="11" t="s">
        <v>412</v>
      </c>
      <c r="D138" s="12" t="s">
        <v>413</v>
      </c>
      <c r="E138" s="12">
        <v>2023.0</v>
      </c>
      <c r="F138" s="13" t="s">
        <v>19</v>
      </c>
      <c r="G138" s="9"/>
      <c r="H138" s="11" t="s">
        <v>290</v>
      </c>
      <c r="I138" s="9">
        <v>114.0</v>
      </c>
      <c r="J138" s="9" t="s">
        <v>21</v>
      </c>
      <c r="K138" s="9" t="s">
        <v>22</v>
      </c>
      <c r="L138" s="11" t="s">
        <v>23</v>
      </c>
      <c r="M138" s="11" t="s">
        <v>24</v>
      </c>
      <c r="N138" s="9" t="s">
        <v>25</v>
      </c>
      <c r="O138" s="14">
        <f t="shared" si="1"/>
        <v>28520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1.5" customHeight="1">
      <c r="A139" s="15">
        <v>135.0</v>
      </c>
      <c r="B139" s="10" t="s">
        <v>414</v>
      </c>
      <c r="C139" s="11" t="s">
        <v>415</v>
      </c>
      <c r="D139" s="12" t="s">
        <v>416</v>
      </c>
      <c r="E139" s="12">
        <v>2023.0</v>
      </c>
      <c r="F139" s="13" t="s">
        <v>19</v>
      </c>
      <c r="G139" s="9"/>
      <c r="H139" s="11" t="s">
        <v>290</v>
      </c>
      <c r="I139" s="9">
        <v>155.0</v>
      </c>
      <c r="J139" s="9" t="s">
        <v>21</v>
      </c>
      <c r="K139" s="9" t="s">
        <v>22</v>
      </c>
      <c r="L139" s="11" t="s">
        <v>23</v>
      </c>
      <c r="M139" s="11" t="s">
        <v>24</v>
      </c>
      <c r="N139" s="9" t="s">
        <v>25</v>
      </c>
      <c r="O139" s="14">
        <f t="shared" si="1"/>
        <v>35900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1.5" customHeight="1">
      <c r="A140" s="15">
        <v>136.0</v>
      </c>
      <c r="B140" s="10" t="s">
        <v>417</v>
      </c>
      <c r="C140" s="11" t="s">
        <v>418</v>
      </c>
      <c r="D140" s="12" t="s">
        <v>419</v>
      </c>
      <c r="E140" s="12">
        <v>2023.0</v>
      </c>
      <c r="F140" s="13" t="s">
        <v>19</v>
      </c>
      <c r="G140" s="9"/>
      <c r="H140" s="11" t="s">
        <v>107</v>
      </c>
      <c r="I140" s="9">
        <v>249.0</v>
      </c>
      <c r="J140" s="9" t="s">
        <v>21</v>
      </c>
      <c r="K140" s="9" t="s">
        <v>22</v>
      </c>
      <c r="L140" s="11" t="s">
        <v>23</v>
      </c>
      <c r="M140" s="11" t="s">
        <v>24</v>
      </c>
      <c r="N140" s="9" t="s">
        <v>25</v>
      </c>
      <c r="O140" s="14">
        <f t="shared" si="1"/>
        <v>42350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1.5" customHeight="1">
      <c r="A141" s="15">
        <v>137.0</v>
      </c>
      <c r="B141" s="10" t="s">
        <v>420</v>
      </c>
      <c r="C141" s="11" t="s">
        <v>421</v>
      </c>
      <c r="D141" s="12" t="s">
        <v>422</v>
      </c>
      <c r="E141" s="12">
        <v>2023.0</v>
      </c>
      <c r="F141" s="13" t="s">
        <v>19</v>
      </c>
      <c r="G141" s="9"/>
      <c r="H141" s="11" t="s">
        <v>107</v>
      </c>
      <c r="I141" s="9">
        <v>79.0</v>
      </c>
      <c r="J141" s="9" t="s">
        <v>21</v>
      </c>
      <c r="K141" s="9" t="s">
        <v>22</v>
      </c>
      <c r="L141" s="11" t="s">
        <v>23</v>
      </c>
      <c r="M141" s="11" t="s">
        <v>24</v>
      </c>
      <c r="N141" s="9" t="s">
        <v>25</v>
      </c>
      <c r="O141" s="14">
        <f t="shared" si="1"/>
        <v>16850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1.5" customHeight="1">
      <c r="A142" s="15">
        <v>138.0</v>
      </c>
      <c r="B142" s="10" t="s">
        <v>423</v>
      </c>
      <c r="C142" s="11" t="s">
        <v>424</v>
      </c>
      <c r="D142" s="12" t="s">
        <v>425</v>
      </c>
      <c r="E142" s="12">
        <v>2023.0</v>
      </c>
      <c r="F142" s="13" t="s">
        <v>19</v>
      </c>
      <c r="G142" s="9"/>
      <c r="H142" s="11" t="s">
        <v>107</v>
      </c>
      <c r="I142" s="9">
        <v>96.0</v>
      </c>
      <c r="J142" s="9" t="s">
        <v>21</v>
      </c>
      <c r="K142" s="9" t="s">
        <v>22</v>
      </c>
      <c r="L142" s="11" t="s">
        <v>23</v>
      </c>
      <c r="M142" s="11" t="s">
        <v>24</v>
      </c>
      <c r="N142" s="9" t="s">
        <v>25</v>
      </c>
      <c r="O142" s="14">
        <f t="shared" si="1"/>
        <v>19400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1.5" customHeight="1">
      <c r="A143" s="15">
        <v>139.0</v>
      </c>
      <c r="B143" s="10" t="s">
        <v>426</v>
      </c>
      <c r="C143" s="11" t="s">
        <v>427</v>
      </c>
      <c r="D143" s="12" t="s">
        <v>428</v>
      </c>
      <c r="E143" s="12">
        <v>2022.0</v>
      </c>
      <c r="F143" s="13" t="s">
        <v>19</v>
      </c>
      <c r="G143" s="9"/>
      <c r="H143" s="11" t="s">
        <v>107</v>
      </c>
      <c r="I143" s="9">
        <v>150.0</v>
      </c>
      <c r="J143" s="9" t="s">
        <v>21</v>
      </c>
      <c r="K143" s="9" t="s">
        <v>22</v>
      </c>
      <c r="L143" s="11" t="s">
        <v>23</v>
      </c>
      <c r="M143" s="11" t="s">
        <v>24</v>
      </c>
      <c r="N143" s="9" t="s">
        <v>25</v>
      </c>
      <c r="O143" s="14">
        <f t="shared" si="1"/>
        <v>27500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1.5" customHeight="1">
      <c r="A144" s="15">
        <v>140.0</v>
      </c>
      <c r="B144" s="10" t="s">
        <v>429</v>
      </c>
      <c r="C144" s="11" t="s">
        <v>430</v>
      </c>
      <c r="D144" s="12" t="s">
        <v>431</v>
      </c>
      <c r="E144" s="12">
        <v>2022.0</v>
      </c>
      <c r="F144" s="13" t="s">
        <v>19</v>
      </c>
      <c r="G144" s="9"/>
      <c r="H144" s="11" t="s">
        <v>290</v>
      </c>
      <c r="I144" s="9">
        <v>249.0</v>
      </c>
      <c r="J144" s="9" t="s">
        <v>21</v>
      </c>
      <c r="K144" s="9" t="s">
        <v>22</v>
      </c>
      <c r="L144" s="11" t="s">
        <v>23</v>
      </c>
      <c r="M144" s="11" t="s">
        <v>24</v>
      </c>
      <c r="N144" s="9" t="s">
        <v>25</v>
      </c>
      <c r="O144" s="14">
        <f t="shared" si="1"/>
        <v>52820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1.5" customHeight="1">
      <c r="A145" s="15">
        <v>141.0</v>
      </c>
      <c r="B145" s="10" t="s">
        <v>432</v>
      </c>
      <c r="C145" s="11" t="s">
        <v>433</v>
      </c>
      <c r="D145" s="12" t="s">
        <v>434</v>
      </c>
      <c r="E145" s="12">
        <v>2022.0</v>
      </c>
      <c r="F145" s="13" t="s">
        <v>19</v>
      </c>
      <c r="G145" s="9"/>
      <c r="H145" s="11" t="s">
        <v>107</v>
      </c>
      <c r="I145" s="9">
        <v>127.0</v>
      </c>
      <c r="J145" s="9" t="s">
        <v>21</v>
      </c>
      <c r="K145" s="9" t="s">
        <v>22</v>
      </c>
      <c r="L145" s="11" t="s">
        <v>23</v>
      </c>
      <c r="M145" s="11" t="s">
        <v>24</v>
      </c>
      <c r="N145" s="9" t="s">
        <v>25</v>
      </c>
      <c r="O145" s="14">
        <f t="shared" si="1"/>
        <v>24050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1.5" customHeight="1">
      <c r="A146" s="15">
        <v>142.0</v>
      </c>
      <c r="B146" s="10" t="s">
        <v>435</v>
      </c>
      <c r="C146" s="11" t="s">
        <v>436</v>
      </c>
      <c r="D146" s="12" t="s">
        <v>437</v>
      </c>
      <c r="E146" s="12">
        <v>2022.0</v>
      </c>
      <c r="F146" s="13" t="s">
        <v>19</v>
      </c>
      <c r="G146" s="9"/>
      <c r="H146" s="11" t="s">
        <v>290</v>
      </c>
      <c r="I146" s="9">
        <v>159.0</v>
      </c>
      <c r="J146" s="9" t="s">
        <v>21</v>
      </c>
      <c r="K146" s="9" t="s">
        <v>22</v>
      </c>
      <c r="L146" s="11" t="s">
        <v>23</v>
      </c>
      <c r="M146" s="11" t="s">
        <v>24</v>
      </c>
      <c r="N146" s="9" t="s">
        <v>25</v>
      </c>
      <c r="O146" s="14">
        <f t="shared" si="1"/>
        <v>36620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1.5" customHeight="1">
      <c r="A147" s="15">
        <v>143.0</v>
      </c>
      <c r="B147" s="10" t="s">
        <v>438</v>
      </c>
      <c r="C147" s="11" t="s">
        <v>439</v>
      </c>
      <c r="D147" s="12" t="s">
        <v>440</v>
      </c>
      <c r="E147" s="12">
        <v>2022.0</v>
      </c>
      <c r="F147" s="13" t="s">
        <v>19</v>
      </c>
      <c r="G147" s="9"/>
      <c r="H147" s="11" t="s">
        <v>107</v>
      </c>
      <c r="I147" s="9">
        <v>98.0</v>
      </c>
      <c r="J147" s="9" t="s">
        <v>21</v>
      </c>
      <c r="K147" s="9" t="s">
        <v>22</v>
      </c>
      <c r="L147" s="11" t="s">
        <v>23</v>
      </c>
      <c r="M147" s="11" t="s">
        <v>24</v>
      </c>
      <c r="N147" s="9" t="s">
        <v>25</v>
      </c>
      <c r="O147" s="14">
        <f t="shared" si="1"/>
        <v>19700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1.5" customHeight="1">
      <c r="A148" s="15">
        <v>144.0</v>
      </c>
      <c r="B148" s="10" t="s">
        <v>441</v>
      </c>
      <c r="C148" s="11" t="s">
        <v>442</v>
      </c>
      <c r="D148" s="12" t="s">
        <v>443</v>
      </c>
      <c r="E148" s="12">
        <v>2022.0</v>
      </c>
      <c r="F148" s="13" t="s">
        <v>19</v>
      </c>
      <c r="G148" s="9"/>
      <c r="H148" s="11" t="s">
        <v>290</v>
      </c>
      <c r="I148" s="9">
        <v>134.0</v>
      </c>
      <c r="J148" s="9" t="s">
        <v>21</v>
      </c>
      <c r="K148" s="9" t="s">
        <v>22</v>
      </c>
      <c r="L148" s="11" t="s">
        <v>23</v>
      </c>
      <c r="M148" s="11" t="s">
        <v>24</v>
      </c>
      <c r="N148" s="9" t="s">
        <v>25</v>
      </c>
      <c r="O148" s="14">
        <f t="shared" si="1"/>
        <v>32120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1.5" customHeight="1">
      <c r="A149" s="15">
        <v>145.0</v>
      </c>
      <c r="B149" s="10" t="s">
        <v>444</v>
      </c>
      <c r="C149" s="11" t="s">
        <v>445</v>
      </c>
      <c r="D149" s="12" t="s">
        <v>446</v>
      </c>
      <c r="E149" s="12">
        <v>2022.0</v>
      </c>
      <c r="F149" s="13" t="s">
        <v>19</v>
      </c>
      <c r="G149" s="9"/>
      <c r="H149" s="11" t="s">
        <v>107</v>
      </c>
      <c r="I149" s="9">
        <v>86.0</v>
      </c>
      <c r="J149" s="9" t="s">
        <v>21</v>
      </c>
      <c r="K149" s="9" t="s">
        <v>22</v>
      </c>
      <c r="L149" s="11" t="s">
        <v>23</v>
      </c>
      <c r="M149" s="11" t="s">
        <v>24</v>
      </c>
      <c r="N149" s="9" t="s">
        <v>25</v>
      </c>
      <c r="O149" s="14">
        <f t="shared" si="1"/>
        <v>17900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1.5" customHeight="1">
      <c r="A150" s="15">
        <v>146.0</v>
      </c>
      <c r="B150" s="10" t="s">
        <v>447</v>
      </c>
      <c r="C150" s="11" t="s">
        <v>448</v>
      </c>
      <c r="D150" s="12" t="s">
        <v>449</v>
      </c>
      <c r="E150" s="12">
        <v>2022.0</v>
      </c>
      <c r="F150" s="13" t="s">
        <v>19</v>
      </c>
      <c r="G150" s="9"/>
      <c r="H150" s="11" t="s">
        <v>107</v>
      </c>
      <c r="I150" s="9">
        <v>416.0</v>
      </c>
      <c r="J150" s="9" t="s">
        <v>21</v>
      </c>
      <c r="K150" s="9" t="s">
        <v>22</v>
      </c>
      <c r="L150" s="11" t="s">
        <v>23</v>
      </c>
      <c r="M150" s="11" t="s">
        <v>24</v>
      </c>
      <c r="N150" s="9" t="s">
        <v>25</v>
      </c>
      <c r="O150" s="14">
        <f t="shared" si="1"/>
        <v>67400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1.5" customHeight="1">
      <c r="A151" s="15">
        <v>147.0</v>
      </c>
      <c r="B151" s="10" t="s">
        <v>450</v>
      </c>
      <c r="C151" s="11" t="s">
        <v>451</v>
      </c>
      <c r="D151" s="12" t="s">
        <v>452</v>
      </c>
      <c r="E151" s="12">
        <v>2022.0</v>
      </c>
      <c r="F151" s="13" t="s">
        <v>19</v>
      </c>
      <c r="G151" s="9"/>
      <c r="H151" s="11" t="s">
        <v>290</v>
      </c>
      <c r="I151" s="9">
        <v>84.0</v>
      </c>
      <c r="J151" s="9" t="s">
        <v>21</v>
      </c>
      <c r="K151" s="9" t="s">
        <v>22</v>
      </c>
      <c r="L151" s="11" t="s">
        <v>23</v>
      </c>
      <c r="M151" s="11" t="s">
        <v>24</v>
      </c>
      <c r="N151" s="9" t="s">
        <v>25</v>
      </c>
      <c r="O151" s="14">
        <f t="shared" si="1"/>
        <v>23120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1.5" customHeight="1">
      <c r="A152" s="15">
        <v>148.0</v>
      </c>
      <c r="B152" s="10" t="s">
        <v>453</v>
      </c>
      <c r="C152" s="11" t="s">
        <v>454</v>
      </c>
      <c r="D152" s="12" t="s">
        <v>455</v>
      </c>
      <c r="E152" s="12">
        <v>2022.0</v>
      </c>
      <c r="F152" s="13" t="s">
        <v>19</v>
      </c>
      <c r="G152" s="9"/>
      <c r="H152" s="11" t="s">
        <v>107</v>
      </c>
      <c r="I152" s="9">
        <v>167.0</v>
      </c>
      <c r="J152" s="9" t="s">
        <v>21</v>
      </c>
      <c r="K152" s="9" t="s">
        <v>22</v>
      </c>
      <c r="L152" s="11" t="s">
        <v>23</v>
      </c>
      <c r="M152" s="11" t="s">
        <v>24</v>
      </c>
      <c r="N152" s="9" t="s">
        <v>25</v>
      </c>
      <c r="O152" s="14">
        <f t="shared" si="1"/>
        <v>30050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1.5" customHeight="1">
      <c r="A153" s="15">
        <v>149.0</v>
      </c>
      <c r="B153" s="10" t="s">
        <v>456</v>
      </c>
      <c r="C153" s="11" t="s">
        <v>457</v>
      </c>
      <c r="D153" s="12" t="s">
        <v>458</v>
      </c>
      <c r="E153" s="12">
        <v>2022.0</v>
      </c>
      <c r="F153" s="13" t="s">
        <v>19</v>
      </c>
      <c r="G153" s="9"/>
      <c r="H153" s="11" t="s">
        <v>290</v>
      </c>
      <c r="I153" s="9">
        <v>90.0</v>
      </c>
      <c r="J153" s="9" t="s">
        <v>21</v>
      </c>
      <c r="K153" s="9" t="s">
        <v>22</v>
      </c>
      <c r="L153" s="11" t="s">
        <v>23</v>
      </c>
      <c r="M153" s="11" t="s">
        <v>24</v>
      </c>
      <c r="N153" s="9" t="s">
        <v>25</v>
      </c>
      <c r="O153" s="14">
        <f t="shared" si="1"/>
        <v>24200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1.5" customHeight="1">
      <c r="A154" s="15">
        <v>150.0</v>
      </c>
      <c r="B154" s="10" t="s">
        <v>459</v>
      </c>
      <c r="C154" s="11" t="s">
        <v>460</v>
      </c>
      <c r="D154" s="12" t="s">
        <v>461</v>
      </c>
      <c r="E154" s="12">
        <v>2022.0</v>
      </c>
      <c r="F154" s="13" t="s">
        <v>19</v>
      </c>
      <c r="G154" s="9"/>
      <c r="H154" s="11" t="s">
        <v>107</v>
      </c>
      <c r="I154" s="9">
        <v>184.0</v>
      </c>
      <c r="J154" s="9" t="s">
        <v>21</v>
      </c>
      <c r="K154" s="9" t="s">
        <v>22</v>
      </c>
      <c r="L154" s="11" t="s">
        <v>23</v>
      </c>
      <c r="M154" s="11" t="s">
        <v>24</v>
      </c>
      <c r="N154" s="9" t="s">
        <v>25</v>
      </c>
      <c r="O154" s="14">
        <f t="shared" si="1"/>
        <v>32600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1.5" customHeight="1">
      <c r="A155" s="15">
        <v>151.0</v>
      </c>
      <c r="B155" s="10" t="s">
        <v>462</v>
      </c>
      <c r="C155" s="11" t="s">
        <v>463</v>
      </c>
      <c r="D155" s="12" t="s">
        <v>464</v>
      </c>
      <c r="E155" s="12">
        <v>2022.0</v>
      </c>
      <c r="F155" s="13" t="s">
        <v>19</v>
      </c>
      <c r="G155" s="9"/>
      <c r="H155" s="11" t="s">
        <v>290</v>
      </c>
      <c r="I155" s="9">
        <v>139.0</v>
      </c>
      <c r="J155" s="9" t="s">
        <v>21</v>
      </c>
      <c r="K155" s="9" t="s">
        <v>22</v>
      </c>
      <c r="L155" s="11" t="s">
        <v>23</v>
      </c>
      <c r="M155" s="11" t="s">
        <v>24</v>
      </c>
      <c r="N155" s="9" t="s">
        <v>25</v>
      </c>
      <c r="O155" s="14">
        <f t="shared" si="1"/>
        <v>33020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1.5" customHeight="1">
      <c r="A156" s="15">
        <v>152.0</v>
      </c>
      <c r="B156" s="10" t="s">
        <v>465</v>
      </c>
      <c r="C156" s="11" t="s">
        <v>466</v>
      </c>
      <c r="D156" s="12" t="s">
        <v>467</v>
      </c>
      <c r="E156" s="12">
        <v>2022.0</v>
      </c>
      <c r="F156" s="13" t="s">
        <v>19</v>
      </c>
      <c r="G156" s="9"/>
      <c r="H156" s="11" t="s">
        <v>290</v>
      </c>
      <c r="I156" s="9">
        <v>166.0</v>
      </c>
      <c r="J156" s="9" t="s">
        <v>21</v>
      </c>
      <c r="K156" s="9" t="s">
        <v>22</v>
      </c>
      <c r="L156" s="11" t="s">
        <v>23</v>
      </c>
      <c r="M156" s="11" t="s">
        <v>24</v>
      </c>
      <c r="N156" s="9" t="s">
        <v>25</v>
      </c>
      <c r="O156" s="14">
        <f t="shared" si="1"/>
        <v>37880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1.5" customHeight="1">
      <c r="A157" s="15">
        <v>153.0</v>
      </c>
      <c r="B157" s="10" t="s">
        <v>468</v>
      </c>
      <c r="C157" s="11" t="s">
        <v>469</v>
      </c>
      <c r="D157" s="12" t="s">
        <v>470</v>
      </c>
      <c r="E157" s="12">
        <v>2022.0</v>
      </c>
      <c r="F157" s="13" t="s">
        <v>19</v>
      </c>
      <c r="G157" s="9" t="s">
        <v>360</v>
      </c>
      <c r="H157" s="11" t="s">
        <v>107</v>
      </c>
      <c r="I157" s="9">
        <v>274.0</v>
      </c>
      <c r="J157" s="9" t="s">
        <v>21</v>
      </c>
      <c r="K157" s="9" t="s">
        <v>22</v>
      </c>
      <c r="L157" s="11" t="s">
        <v>23</v>
      </c>
      <c r="M157" s="11" t="s">
        <v>24</v>
      </c>
      <c r="N157" s="9" t="s">
        <v>25</v>
      </c>
      <c r="O157" s="14">
        <f t="shared" si="1"/>
        <v>46100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1.5" customHeight="1">
      <c r="A158" s="15">
        <v>154.0</v>
      </c>
      <c r="B158" s="10" t="s">
        <v>471</v>
      </c>
      <c r="C158" s="11" t="s">
        <v>472</v>
      </c>
      <c r="D158" s="12" t="s">
        <v>473</v>
      </c>
      <c r="E158" s="12">
        <v>2022.0</v>
      </c>
      <c r="F158" s="13" t="s">
        <v>19</v>
      </c>
      <c r="G158" s="9"/>
      <c r="H158" s="11" t="s">
        <v>107</v>
      </c>
      <c r="I158" s="9">
        <v>72.0</v>
      </c>
      <c r="J158" s="9" t="s">
        <v>21</v>
      </c>
      <c r="K158" s="9" t="s">
        <v>22</v>
      </c>
      <c r="L158" s="11" t="s">
        <v>23</v>
      </c>
      <c r="M158" s="11" t="s">
        <v>24</v>
      </c>
      <c r="N158" s="9" t="s">
        <v>25</v>
      </c>
      <c r="O158" s="14">
        <f t="shared" si="1"/>
        <v>15800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1.5" customHeight="1">
      <c r="A159" s="15">
        <v>155.0</v>
      </c>
      <c r="B159" s="10" t="s">
        <v>474</v>
      </c>
      <c r="C159" s="11" t="s">
        <v>475</v>
      </c>
      <c r="D159" s="12" t="s">
        <v>476</v>
      </c>
      <c r="E159" s="12">
        <v>2022.0</v>
      </c>
      <c r="F159" s="13" t="s">
        <v>19</v>
      </c>
      <c r="G159" s="9"/>
      <c r="H159" s="11" t="s">
        <v>107</v>
      </c>
      <c r="I159" s="9">
        <v>122.0</v>
      </c>
      <c r="J159" s="9" t="s">
        <v>21</v>
      </c>
      <c r="K159" s="9" t="s">
        <v>22</v>
      </c>
      <c r="L159" s="11" t="s">
        <v>23</v>
      </c>
      <c r="M159" s="11" t="s">
        <v>24</v>
      </c>
      <c r="N159" s="9" t="s">
        <v>25</v>
      </c>
      <c r="O159" s="14">
        <f t="shared" si="1"/>
        <v>23300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1.5" customHeight="1">
      <c r="A160" s="15">
        <v>156.0</v>
      </c>
      <c r="B160" s="10" t="s">
        <v>477</v>
      </c>
      <c r="C160" s="11" t="s">
        <v>478</v>
      </c>
      <c r="D160" s="12" t="s">
        <v>479</v>
      </c>
      <c r="E160" s="12">
        <v>2022.0</v>
      </c>
      <c r="F160" s="13" t="s">
        <v>19</v>
      </c>
      <c r="G160" s="9"/>
      <c r="H160" s="11" t="s">
        <v>107</v>
      </c>
      <c r="I160" s="9">
        <v>59.0</v>
      </c>
      <c r="J160" s="9" t="s">
        <v>21</v>
      </c>
      <c r="K160" s="9" t="s">
        <v>22</v>
      </c>
      <c r="L160" s="11" t="s">
        <v>23</v>
      </c>
      <c r="M160" s="11" t="s">
        <v>24</v>
      </c>
      <c r="N160" s="9" t="s">
        <v>25</v>
      </c>
      <c r="O160" s="14">
        <f t="shared" si="1"/>
        <v>13850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1.5" customHeight="1">
      <c r="A161" s="15">
        <v>157.0</v>
      </c>
      <c r="B161" s="10" t="s">
        <v>480</v>
      </c>
      <c r="C161" s="11" t="s">
        <v>481</v>
      </c>
      <c r="D161" s="12" t="s">
        <v>482</v>
      </c>
      <c r="E161" s="12">
        <v>2022.0</v>
      </c>
      <c r="F161" s="13" t="s">
        <v>19</v>
      </c>
      <c r="G161" s="9" t="s">
        <v>360</v>
      </c>
      <c r="H161" s="11" t="s">
        <v>107</v>
      </c>
      <c r="I161" s="9">
        <v>174.0</v>
      </c>
      <c r="J161" s="9" t="s">
        <v>21</v>
      </c>
      <c r="K161" s="9" t="s">
        <v>22</v>
      </c>
      <c r="L161" s="11" t="s">
        <v>23</v>
      </c>
      <c r="M161" s="11" t="s">
        <v>24</v>
      </c>
      <c r="N161" s="9" t="s">
        <v>25</v>
      </c>
      <c r="O161" s="14">
        <f t="shared" si="1"/>
        <v>31100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1.5" customHeight="1">
      <c r="A162" s="15">
        <v>158.0</v>
      </c>
      <c r="B162" s="10" t="s">
        <v>483</v>
      </c>
      <c r="C162" s="11" t="s">
        <v>484</v>
      </c>
      <c r="D162" s="12" t="s">
        <v>485</v>
      </c>
      <c r="E162" s="12">
        <v>2022.0</v>
      </c>
      <c r="F162" s="13" t="s">
        <v>19</v>
      </c>
      <c r="G162" s="9"/>
      <c r="H162" s="11" t="s">
        <v>107</v>
      </c>
      <c r="I162" s="9">
        <v>107.0</v>
      </c>
      <c r="J162" s="9" t="s">
        <v>21</v>
      </c>
      <c r="K162" s="9" t="s">
        <v>22</v>
      </c>
      <c r="L162" s="11" t="s">
        <v>23</v>
      </c>
      <c r="M162" s="11" t="s">
        <v>24</v>
      </c>
      <c r="N162" s="9" t="s">
        <v>25</v>
      </c>
      <c r="O162" s="14">
        <f t="shared" si="1"/>
        <v>21050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1.5" customHeight="1">
      <c r="A163" s="15">
        <v>159.0</v>
      </c>
      <c r="B163" s="10" t="s">
        <v>486</v>
      </c>
      <c r="C163" s="11" t="s">
        <v>487</v>
      </c>
      <c r="D163" s="12" t="s">
        <v>488</v>
      </c>
      <c r="E163" s="12">
        <v>2022.0</v>
      </c>
      <c r="F163" s="13" t="s">
        <v>19</v>
      </c>
      <c r="G163" s="9"/>
      <c r="H163" s="11" t="s">
        <v>107</v>
      </c>
      <c r="I163" s="9">
        <v>104.0</v>
      </c>
      <c r="J163" s="9" t="s">
        <v>21</v>
      </c>
      <c r="K163" s="9" t="s">
        <v>22</v>
      </c>
      <c r="L163" s="11" t="s">
        <v>23</v>
      </c>
      <c r="M163" s="11" t="s">
        <v>24</v>
      </c>
      <c r="N163" s="9" t="s">
        <v>25</v>
      </c>
      <c r="O163" s="14">
        <f t="shared" si="1"/>
        <v>20600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1.5" customHeight="1">
      <c r="A164" s="15">
        <v>160.0</v>
      </c>
      <c r="B164" s="10" t="s">
        <v>489</v>
      </c>
      <c r="C164" s="11" t="s">
        <v>490</v>
      </c>
      <c r="D164" s="12" t="s">
        <v>491</v>
      </c>
      <c r="E164" s="12">
        <v>2022.0</v>
      </c>
      <c r="F164" s="13" t="s">
        <v>19</v>
      </c>
      <c r="G164" s="9"/>
      <c r="H164" s="11" t="s">
        <v>107</v>
      </c>
      <c r="I164" s="9">
        <v>105.0</v>
      </c>
      <c r="J164" s="9" t="s">
        <v>21</v>
      </c>
      <c r="K164" s="9" t="s">
        <v>22</v>
      </c>
      <c r="L164" s="11" t="s">
        <v>23</v>
      </c>
      <c r="M164" s="11" t="s">
        <v>24</v>
      </c>
      <c r="N164" s="9" t="s">
        <v>25</v>
      </c>
      <c r="O164" s="14">
        <f t="shared" si="1"/>
        <v>20750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1.5" customHeight="1">
      <c r="A165" s="15">
        <v>161.0</v>
      </c>
      <c r="B165" s="10" t="s">
        <v>492</v>
      </c>
      <c r="C165" s="11" t="s">
        <v>493</v>
      </c>
      <c r="D165" s="12" t="s">
        <v>494</v>
      </c>
      <c r="E165" s="12">
        <v>2022.0</v>
      </c>
      <c r="F165" s="13" t="s">
        <v>19</v>
      </c>
      <c r="G165" s="9"/>
      <c r="H165" s="11" t="s">
        <v>107</v>
      </c>
      <c r="I165" s="9">
        <v>141.0</v>
      </c>
      <c r="J165" s="9" t="s">
        <v>21</v>
      </c>
      <c r="K165" s="9" t="s">
        <v>22</v>
      </c>
      <c r="L165" s="11" t="s">
        <v>23</v>
      </c>
      <c r="M165" s="11" t="s">
        <v>24</v>
      </c>
      <c r="N165" s="9" t="s">
        <v>25</v>
      </c>
      <c r="O165" s="14">
        <f t="shared" si="1"/>
        <v>26150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1.5" customHeight="1">
      <c r="A166" s="15">
        <v>162.0</v>
      </c>
      <c r="B166" s="10" t="s">
        <v>495</v>
      </c>
      <c r="C166" s="11" t="s">
        <v>496</v>
      </c>
      <c r="D166" s="12" t="s">
        <v>497</v>
      </c>
      <c r="E166" s="12">
        <v>2022.0</v>
      </c>
      <c r="F166" s="13" t="s">
        <v>19</v>
      </c>
      <c r="G166" s="9" t="s">
        <v>360</v>
      </c>
      <c r="H166" s="11" t="s">
        <v>20</v>
      </c>
      <c r="I166" s="9">
        <v>92.0</v>
      </c>
      <c r="J166" s="9" t="s">
        <v>21</v>
      </c>
      <c r="K166" s="9" t="s">
        <v>22</v>
      </c>
      <c r="L166" s="11" t="s">
        <v>23</v>
      </c>
      <c r="M166" s="11" t="s">
        <v>24</v>
      </c>
      <c r="N166" s="9" t="s">
        <v>25</v>
      </c>
      <c r="O166" s="14">
        <f t="shared" si="1"/>
        <v>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1.5" customHeight="1">
      <c r="A167" s="15">
        <v>163.0</v>
      </c>
      <c r="B167" s="10" t="s">
        <v>498</v>
      </c>
      <c r="C167" s="11" t="s">
        <v>499</v>
      </c>
      <c r="D167" s="12" t="s">
        <v>500</v>
      </c>
      <c r="E167" s="12">
        <v>2022.0</v>
      </c>
      <c r="F167" s="13" t="s">
        <v>19</v>
      </c>
      <c r="G167" s="9"/>
      <c r="H167" s="11" t="s">
        <v>107</v>
      </c>
      <c r="I167" s="9">
        <v>197.0</v>
      </c>
      <c r="J167" s="9" t="s">
        <v>21</v>
      </c>
      <c r="K167" s="9" t="s">
        <v>22</v>
      </c>
      <c r="L167" s="11" t="s">
        <v>23</v>
      </c>
      <c r="M167" s="11" t="s">
        <v>24</v>
      </c>
      <c r="N167" s="9" t="s">
        <v>25</v>
      </c>
      <c r="O167" s="14">
        <f t="shared" si="1"/>
        <v>34550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1.5" customHeight="1">
      <c r="A168" s="15">
        <v>164.0</v>
      </c>
      <c r="B168" s="10" t="s">
        <v>501</v>
      </c>
      <c r="C168" s="11" t="s">
        <v>502</v>
      </c>
      <c r="D168" s="12" t="s">
        <v>503</v>
      </c>
      <c r="E168" s="12">
        <v>2022.0</v>
      </c>
      <c r="F168" s="13" t="s">
        <v>19</v>
      </c>
      <c r="G168" s="9"/>
      <c r="H168" s="11" t="s">
        <v>504</v>
      </c>
      <c r="I168" s="9">
        <v>252.0</v>
      </c>
      <c r="J168" s="9" t="s">
        <v>21</v>
      </c>
      <c r="K168" s="9" t="s">
        <v>22</v>
      </c>
      <c r="L168" s="11" t="s">
        <v>23</v>
      </c>
      <c r="M168" s="11" t="s">
        <v>24</v>
      </c>
      <c r="N168" s="9" t="s">
        <v>25</v>
      </c>
      <c r="O168" s="14">
        <f>IFS(H168="A5",((I168*150)+5000),H168="A6",((I168*80)+5000),H168="B5",((I168*200)+8000),H168="UNESCO",((I168*180)+8000),TRUE,0)</f>
        <v>25160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1.5" customHeight="1">
      <c r="A169" s="15">
        <v>165.0</v>
      </c>
      <c r="B169" s="10" t="s">
        <v>505</v>
      </c>
      <c r="C169" s="11" t="s">
        <v>506</v>
      </c>
      <c r="D169" s="12" t="s">
        <v>507</v>
      </c>
      <c r="E169" s="12">
        <v>2022.0</v>
      </c>
      <c r="F169" s="13" t="s">
        <v>19</v>
      </c>
      <c r="G169" s="9"/>
      <c r="H169" s="11" t="s">
        <v>107</v>
      </c>
      <c r="I169" s="9">
        <v>88.0</v>
      </c>
      <c r="J169" s="9" t="s">
        <v>21</v>
      </c>
      <c r="K169" s="9" t="s">
        <v>22</v>
      </c>
      <c r="L169" s="11" t="s">
        <v>23</v>
      </c>
      <c r="M169" s="11" t="s">
        <v>24</v>
      </c>
      <c r="N169" s="9" t="s">
        <v>25</v>
      </c>
      <c r="O169" s="14">
        <f t="shared" ref="O169:O177" si="2">IFS(H169="A5",((I169*150)+5000),H169="B5",((I169*200)+8000),H169="UNESCO",((I169*180)+8000),TRUE,0)</f>
        <v>18200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1.5" customHeight="1">
      <c r="A170" s="15">
        <v>166.0</v>
      </c>
      <c r="B170" s="10" t="s">
        <v>508</v>
      </c>
      <c r="C170" s="11" t="s">
        <v>475</v>
      </c>
      <c r="D170" s="12" t="s">
        <v>509</v>
      </c>
      <c r="E170" s="12">
        <v>2022.0</v>
      </c>
      <c r="F170" s="13" t="s">
        <v>19</v>
      </c>
      <c r="G170" s="9"/>
      <c r="H170" s="11" t="s">
        <v>107</v>
      </c>
      <c r="I170" s="9">
        <v>126.0</v>
      </c>
      <c r="J170" s="9" t="s">
        <v>21</v>
      </c>
      <c r="K170" s="9" t="s">
        <v>22</v>
      </c>
      <c r="L170" s="11" t="s">
        <v>23</v>
      </c>
      <c r="M170" s="11" t="s">
        <v>24</v>
      </c>
      <c r="N170" s="9" t="s">
        <v>25</v>
      </c>
      <c r="O170" s="14">
        <f t="shared" si="2"/>
        <v>23900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1.5" customHeight="1">
      <c r="A171" s="15">
        <v>167.0</v>
      </c>
      <c r="B171" s="10" t="s">
        <v>510</v>
      </c>
      <c r="C171" s="11" t="s">
        <v>511</v>
      </c>
      <c r="D171" s="12" t="s">
        <v>512</v>
      </c>
      <c r="E171" s="12">
        <v>2022.0</v>
      </c>
      <c r="F171" s="13" t="s">
        <v>19</v>
      </c>
      <c r="G171" s="9"/>
      <c r="H171" s="11" t="s">
        <v>107</v>
      </c>
      <c r="I171" s="9">
        <v>61.0</v>
      </c>
      <c r="J171" s="9" t="s">
        <v>21</v>
      </c>
      <c r="K171" s="9" t="s">
        <v>22</v>
      </c>
      <c r="L171" s="11" t="s">
        <v>23</v>
      </c>
      <c r="M171" s="11" t="s">
        <v>24</v>
      </c>
      <c r="N171" s="9" t="s">
        <v>25</v>
      </c>
      <c r="O171" s="14">
        <f t="shared" si="2"/>
        <v>14150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1.5" customHeight="1">
      <c r="A172" s="15">
        <v>168.0</v>
      </c>
      <c r="B172" s="10" t="s">
        <v>513</v>
      </c>
      <c r="C172" s="11" t="s">
        <v>514</v>
      </c>
      <c r="D172" s="12" t="s">
        <v>515</v>
      </c>
      <c r="E172" s="12">
        <v>2022.0</v>
      </c>
      <c r="F172" s="13" t="s">
        <v>19</v>
      </c>
      <c r="G172" s="9"/>
      <c r="H172" s="11" t="s">
        <v>290</v>
      </c>
      <c r="I172" s="9">
        <v>169.0</v>
      </c>
      <c r="J172" s="9" t="s">
        <v>21</v>
      </c>
      <c r="K172" s="9" t="s">
        <v>22</v>
      </c>
      <c r="L172" s="11" t="s">
        <v>23</v>
      </c>
      <c r="M172" s="11" t="s">
        <v>24</v>
      </c>
      <c r="N172" s="9" t="s">
        <v>25</v>
      </c>
      <c r="O172" s="14">
        <f t="shared" si="2"/>
        <v>38420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1.5" customHeight="1">
      <c r="A173" s="15">
        <v>169.0</v>
      </c>
      <c r="B173" s="10" t="s">
        <v>516</v>
      </c>
      <c r="C173" s="11" t="s">
        <v>517</v>
      </c>
      <c r="D173" s="12" t="s">
        <v>518</v>
      </c>
      <c r="E173" s="12">
        <v>2022.0</v>
      </c>
      <c r="F173" s="13" t="s">
        <v>19</v>
      </c>
      <c r="G173" s="9" t="s">
        <v>360</v>
      </c>
      <c r="H173" s="11" t="s">
        <v>107</v>
      </c>
      <c r="I173" s="9">
        <v>230.0</v>
      </c>
      <c r="J173" s="9" t="s">
        <v>21</v>
      </c>
      <c r="K173" s="9" t="s">
        <v>22</v>
      </c>
      <c r="L173" s="11" t="s">
        <v>23</v>
      </c>
      <c r="M173" s="11" t="s">
        <v>24</v>
      </c>
      <c r="N173" s="9" t="s">
        <v>25</v>
      </c>
      <c r="O173" s="14">
        <f t="shared" si="2"/>
        <v>39500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1.5" customHeight="1">
      <c r="A174" s="15">
        <v>170.0</v>
      </c>
      <c r="B174" s="10" t="s">
        <v>519</v>
      </c>
      <c r="C174" s="11" t="s">
        <v>520</v>
      </c>
      <c r="D174" s="12" t="s">
        <v>521</v>
      </c>
      <c r="E174" s="12">
        <v>2022.0</v>
      </c>
      <c r="F174" s="13" t="s">
        <v>19</v>
      </c>
      <c r="G174" s="9" t="s">
        <v>360</v>
      </c>
      <c r="H174" s="11" t="s">
        <v>107</v>
      </c>
      <c r="I174" s="9">
        <v>72.0</v>
      </c>
      <c r="J174" s="9" t="s">
        <v>21</v>
      </c>
      <c r="K174" s="9" t="s">
        <v>22</v>
      </c>
      <c r="L174" s="11" t="s">
        <v>23</v>
      </c>
      <c r="M174" s="11" t="s">
        <v>24</v>
      </c>
      <c r="N174" s="9" t="s">
        <v>25</v>
      </c>
      <c r="O174" s="14">
        <f t="shared" si="2"/>
        <v>15800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1.5" customHeight="1">
      <c r="A175" s="15">
        <v>171.0</v>
      </c>
      <c r="B175" s="10" t="s">
        <v>522</v>
      </c>
      <c r="C175" s="11" t="s">
        <v>523</v>
      </c>
      <c r="D175" s="12" t="s">
        <v>524</v>
      </c>
      <c r="E175" s="12">
        <v>2022.0</v>
      </c>
      <c r="F175" s="13" t="s">
        <v>19</v>
      </c>
      <c r="G175" s="9"/>
      <c r="H175" s="11" t="s">
        <v>107</v>
      </c>
      <c r="I175" s="9">
        <v>92.0</v>
      </c>
      <c r="J175" s="9" t="s">
        <v>21</v>
      </c>
      <c r="K175" s="9" t="s">
        <v>22</v>
      </c>
      <c r="L175" s="11" t="s">
        <v>23</v>
      </c>
      <c r="M175" s="11" t="s">
        <v>24</v>
      </c>
      <c r="N175" s="9" t="s">
        <v>25</v>
      </c>
      <c r="O175" s="14">
        <f t="shared" si="2"/>
        <v>18800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1.5" customHeight="1">
      <c r="A176" s="15">
        <v>172.0</v>
      </c>
      <c r="B176" s="10" t="s">
        <v>525</v>
      </c>
      <c r="C176" s="11" t="s">
        <v>526</v>
      </c>
      <c r="D176" s="12" t="s">
        <v>527</v>
      </c>
      <c r="E176" s="12">
        <v>2022.0</v>
      </c>
      <c r="F176" s="13" t="s">
        <v>19</v>
      </c>
      <c r="G176" s="9"/>
      <c r="H176" s="11" t="s">
        <v>107</v>
      </c>
      <c r="I176" s="9">
        <v>130.0</v>
      </c>
      <c r="J176" s="9" t="s">
        <v>21</v>
      </c>
      <c r="K176" s="9" t="s">
        <v>22</v>
      </c>
      <c r="L176" s="11" t="s">
        <v>23</v>
      </c>
      <c r="M176" s="11" t="s">
        <v>24</v>
      </c>
      <c r="N176" s="9" t="s">
        <v>25</v>
      </c>
      <c r="O176" s="14">
        <f t="shared" si="2"/>
        <v>24500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1.5" customHeight="1">
      <c r="A177" s="15">
        <v>173.0</v>
      </c>
      <c r="B177" s="10" t="s">
        <v>528</v>
      </c>
      <c r="C177" s="11" t="s">
        <v>529</v>
      </c>
      <c r="D177" s="12" t="s">
        <v>530</v>
      </c>
      <c r="E177" s="12">
        <v>2022.0</v>
      </c>
      <c r="F177" s="13" t="s">
        <v>19</v>
      </c>
      <c r="G177" s="9"/>
      <c r="H177" s="11" t="s">
        <v>107</v>
      </c>
      <c r="I177" s="9">
        <v>426.0</v>
      </c>
      <c r="J177" s="9" t="s">
        <v>21</v>
      </c>
      <c r="K177" s="9" t="s">
        <v>22</v>
      </c>
      <c r="L177" s="11" t="s">
        <v>23</v>
      </c>
      <c r="M177" s="11" t="s">
        <v>24</v>
      </c>
      <c r="N177" s="9" t="s">
        <v>25</v>
      </c>
      <c r="O177" s="14">
        <f t="shared" si="2"/>
        <v>68900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1.5" customHeight="1">
      <c r="A178" s="15">
        <v>174.0</v>
      </c>
      <c r="B178" s="10" t="s">
        <v>531</v>
      </c>
      <c r="C178" s="11" t="s">
        <v>532</v>
      </c>
      <c r="D178" s="12" t="s">
        <v>533</v>
      </c>
      <c r="E178" s="12">
        <v>2022.0</v>
      </c>
      <c r="F178" s="13" t="s">
        <v>19</v>
      </c>
      <c r="G178" s="9"/>
      <c r="H178" s="11" t="s">
        <v>107</v>
      </c>
      <c r="I178" s="9">
        <v>84.0</v>
      </c>
      <c r="J178" s="9" t="s">
        <v>22</v>
      </c>
      <c r="K178" s="9" t="s">
        <v>22</v>
      </c>
      <c r="L178" s="11" t="s">
        <v>23</v>
      </c>
      <c r="M178" s="11" t="s">
        <v>24</v>
      </c>
      <c r="N178" s="9" t="s">
        <v>25</v>
      </c>
      <c r="O178" s="14">
        <f>IFS(H178="A5",((I178*450)+5000),H178="B5",((I178*200)+8000),H178="UNESCO",((I178*180)+8000),TRUE,0)</f>
        <v>42800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1.5" customHeight="1">
      <c r="A179" s="15">
        <v>175.0</v>
      </c>
      <c r="B179" s="10" t="s">
        <v>534</v>
      </c>
      <c r="C179" s="11" t="s">
        <v>535</v>
      </c>
      <c r="D179" s="12" t="s">
        <v>536</v>
      </c>
      <c r="E179" s="12">
        <v>2022.0</v>
      </c>
      <c r="F179" s="13" t="s">
        <v>19</v>
      </c>
      <c r="G179" s="9"/>
      <c r="H179" s="11" t="s">
        <v>20</v>
      </c>
      <c r="I179" s="15"/>
      <c r="J179" s="9" t="s">
        <v>21</v>
      </c>
      <c r="K179" s="9" t="s">
        <v>22</v>
      </c>
      <c r="L179" s="11" t="s">
        <v>23</v>
      </c>
      <c r="M179" s="11" t="s">
        <v>24</v>
      </c>
      <c r="N179" s="9" t="s">
        <v>25</v>
      </c>
      <c r="O179" s="14">
        <f t="shared" ref="O179:O226" si="3">IFS(H179="A5",((I179*150)+5000),H179="B5",((I179*200)+8000),H179="UNESCO",((I179*180)+8000),TRUE,0)</f>
        <v>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1.5" customHeight="1">
      <c r="A180" s="15">
        <v>176.0</v>
      </c>
      <c r="B180" s="10" t="s">
        <v>537</v>
      </c>
      <c r="C180" s="11" t="s">
        <v>538</v>
      </c>
      <c r="D180" s="12" t="s">
        <v>539</v>
      </c>
      <c r="E180" s="12">
        <v>2022.0</v>
      </c>
      <c r="F180" s="13" t="s">
        <v>19</v>
      </c>
      <c r="G180" s="9"/>
      <c r="H180" s="11" t="s">
        <v>20</v>
      </c>
      <c r="I180" s="15"/>
      <c r="J180" s="9" t="s">
        <v>21</v>
      </c>
      <c r="K180" s="9" t="s">
        <v>22</v>
      </c>
      <c r="L180" s="11" t="s">
        <v>23</v>
      </c>
      <c r="M180" s="11" t="s">
        <v>24</v>
      </c>
      <c r="N180" s="9" t="s">
        <v>25</v>
      </c>
      <c r="O180" s="14">
        <f t="shared" si="3"/>
        <v>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1.5" customHeight="1">
      <c r="A181" s="15">
        <v>177.0</v>
      </c>
      <c r="B181" s="10" t="s">
        <v>540</v>
      </c>
      <c r="C181" s="11" t="s">
        <v>541</v>
      </c>
      <c r="D181" s="12" t="s">
        <v>542</v>
      </c>
      <c r="E181" s="12">
        <v>2022.0</v>
      </c>
      <c r="F181" s="13" t="s">
        <v>19</v>
      </c>
      <c r="G181" s="9"/>
      <c r="H181" s="11" t="s">
        <v>20</v>
      </c>
      <c r="I181" s="15"/>
      <c r="J181" s="9" t="s">
        <v>21</v>
      </c>
      <c r="K181" s="9" t="s">
        <v>22</v>
      </c>
      <c r="L181" s="11" t="s">
        <v>23</v>
      </c>
      <c r="M181" s="11" t="s">
        <v>24</v>
      </c>
      <c r="N181" s="9" t="s">
        <v>25</v>
      </c>
      <c r="O181" s="14">
        <f t="shared" si="3"/>
        <v>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1.5" customHeight="1">
      <c r="A182" s="15">
        <v>178.0</v>
      </c>
      <c r="B182" s="10" t="s">
        <v>543</v>
      </c>
      <c r="C182" s="11" t="s">
        <v>544</v>
      </c>
      <c r="D182" s="12" t="s">
        <v>545</v>
      </c>
      <c r="E182" s="12">
        <v>2022.0</v>
      </c>
      <c r="F182" s="13" t="s">
        <v>19</v>
      </c>
      <c r="G182" s="9"/>
      <c r="H182" s="11" t="s">
        <v>107</v>
      </c>
      <c r="I182" s="9">
        <v>111.0</v>
      </c>
      <c r="J182" s="9" t="s">
        <v>21</v>
      </c>
      <c r="K182" s="9" t="s">
        <v>22</v>
      </c>
      <c r="L182" s="11" t="s">
        <v>23</v>
      </c>
      <c r="M182" s="11" t="s">
        <v>24</v>
      </c>
      <c r="N182" s="9" t="s">
        <v>25</v>
      </c>
      <c r="O182" s="14">
        <f t="shared" si="3"/>
        <v>21650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1.5" customHeight="1">
      <c r="A183" s="15">
        <v>179.0</v>
      </c>
      <c r="B183" s="10" t="s">
        <v>546</v>
      </c>
      <c r="C183" s="11" t="s">
        <v>547</v>
      </c>
      <c r="D183" s="12" t="s">
        <v>548</v>
      </c>
      <c r="E183" s="12">
        <v>2022.0</v>
      </c>
      <c r="F183" s="13" t="s">
        <v>19</v>
      </c>
      <c r="G183" s="9"/>
      <c r="H183" s="11" t="s">
        <v>107</v>
      </c>
      <c r="I183" s="9">
        <v>138.0</v>
      </c>
      <c r="J183" s="9" t="s">
        <v>21</v>
      </c>
      <c r="K183" s="9" t="s">
        <v>22</v>
      </c>
      <c r="L183" s="11" t="s">
        <v>23</v>
      </c>
      <c r="M183" s="11" t="s">
        <v>24</v>
      </c>
      <c r="N183" s="9" t="s">
        <v>25</v>
      </c>
      <c r="O183" s="14">
        <f t="shared" si="3"/>
        <v>25700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1.5" customHeight="1">
      <c r="A184" s="15">
        <v>180.0</v>
      </c>
      <c r="B184" s="10" t="s">
        <v>549</v>
      </c>
      <c r="C184" s="11" t="s">
        <v>550</v>
      </c>
      <c r="D184" s="12" t="s">
        <v>551</v>
      </c>
      <c r="E184" s="12">
        <v>2022.0</v>
      </c>
      <c r="F184" s="13" t="s">
        <v>19</v>
      </c>
      <c r="G184" s="9"/>
      <c r="H184" s="11" t="s">
        <v>107</v>
      </c>
      <c r="I184" s="9">
        <v>108.0</v>
      </c>
      <c r="J184" s="9" t="s">
        <v>21</v>
      </c>
      <c r="K184" s="9" t="s">
        <v>22</v>
      </c>
      <c r="L184" s="11" t="s">
        <v>23</v>
      </c>
      <c r="M184" s="11" t="s">
        <v>24</v>
      </c>
      <c r="N184" s="9" t="s">
        <v>25</v>
      </c>
      <c r="O184" s="14">
        <f t="shared" si="3"/>
        <v>21200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1.5" customHeight="1">
      <c r="A185" s="15">
        <v>181.0</v>
      </c>
      <c r="B185" s="10" t="s">
        <v>552</v>
      </c>
      <c r="C185" s="11" t="s">
        <v>553</v>
      </c>
      <c r="D185" s="12" t="s">
        <v>554</v>
      </c>
      <c r="E185" s="12">
        <v>2022.0</v>
      </c>
      <c r="F185" s="13" t="s">
        <v>19</v>
      </c>
      <c r="G185" s="9"/>
      <c r="H185" s="11" t="s">
        <v>290</v>
      </c>
      <c r="I185" s="9">
        <v>62.0</v>
      </c>
      <c r="J185" s="9" t="s">
        <v>21</v>
      </c>
      <c r="K185" s="9" t="s">
        <v>22</v>
      </c>
      <c r="L185" s="11" t="s">
        <v>23</v>
      </c>
      <c r="M185" s="11" t="s">
        <v>24</v>
      </c>
      <c r="N185" s="9" t="s">
        <v>25</v>
      </c>
      <c r="O185" s="14">
        <f t="shared" si="3"/>
        <v>19160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1.5" customHeight="1">
      <c r="A186" s="15">
        <v>182.0</v>
      </c>
      <c r="B186" s="10" t="s">
        <v>555</v>
      </c>
      <c r="C186" s="11" t="s">
        <v>556</v>
      </c>
      <c r="D186" s="12" t="s">
        <v>557</v>
      </c>
      <c r="E186" s="12">
        <v>2022.0</v>
      </c>
      <c r="F186" s="13" t="s">
        <v>19</v>
      </c>
      <c r="G186" s="9"/>
      <c r="H186" s="11" t="s">
        <v>20</v>
      </c>
      <c r="I186" s="15"/>
      <c r="J186" s="9" t="s">
        <v>21</v>
      </c>
      <c r="K186" s="9" t="s">
        <v>22</v>
      </c>
      <c r="L186" s="11" t="s">
        <v>23</v>
      </c>
      <c r="M186" s="11" t="s">
        <v>24</v>
      </c>
      <c r="N186" s="9" t="s">
        <v>25</v>
      </c>
      <c r="O186" s="14">
        <f t="shared" si="3"/>
        <v>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1.5" customHeight="1">
      <c r="A187" s="15">
        <v>183.0</v>
      </c>
      <c r="B187" s="10" t="s">
        <v>558</v>
      </c>
      <c r="C187" s="11" t="s">
        <v>559</v>
      </c>
      <c r="D187" s="12" t="s">
        <v>560</v>
      </c>
      <c r="E187" s="12">
        <v>2022.0</v>
      </c>
      <c r="F187" s="13" t="s">
        <v>19</v>
      </c>
      <c r="G187" s="9"/>
      <c r="H187" s="11" t="s">
        <v>290</v>
      </c>
      <c r="I187" s="9">
        <v>139.0</v>
      </c>
      <c r="J187" s="9" t="s">
        <v>21</v>
      </c>
      <c r="K187" s="9" t="s">
        <v>22</v>
      </c>
      <c r="L187" s="11" t="s">
        <v>23</v>
      </c>
      <c r="M187" s="11" t="s">
        <v>24</v>
      </c>
      <c r="N187" s="9" t="s">
        <v>25</v>
      </c>
      <c r="O187" s="14">
        <f t="shared" si="3"/>
        <v>33020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1.5" customHeight="1">
      <c r="A188" s="15">
        <v>184.0</v>
      </c>
      <c r="B188" s="10" t="s">
        <v>561</v>
      </c>
      <c r="C188" s="11" t="s">
        <v>562</v>
      </c>
      <c r="D188" s="12" t="s">
        <v>563</v>
      </c>
      <c r="E188" s="12">
        <v>2022.0</v>
      </c>
      <c r="F188" s="13" t="s">
        <v>19</v>
      </c>
      <c r="G188" s="9"/>
      <c r="H188" s="11" t="s">
        <v>107</v>
      </c>
      <c r="I188" s="9">
        <v>402.0</v>
      </c>
      <c r="J188" s="9" t="s">
        <v>21</v>
      </c>
      <c r="K188" s="9" t="s">
        <v>22</v>
      </c>
      <c r="L188" s="11" t="s">
        <v>23</v>
      </c>
      <c r="M188" s="11" t="s">
        <v>24</v>
      </c>
      <c r="N188" s="9" t="s">
        <v>25</v>
      </c>
      <c r="O188" s="14">
        <f t="shared" si="3"/>
        <v>65300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1.5" customHeight="1">
      <c r="A189" s="15">
        <v>185.0</v>
      </c>
      <c r="B189" s="10" t="s">
        <v>564</v>
      </c>
      <c r="C189" s="11" t="s">
        <v>562</v>
      </c>
      <c r="D189" s="12" t="s">
        <v>565</v>
      </c>
      <c r="E189" s="12">
        <v>2022.0</v>
      </c>
      <c r="F189" s="13" t="s">
        <v>19</v>
      </c>
      <c r="G189" s="9"/>
      <c r="H189" s="11" t="s">
        <v>107</v>
      </c>
      <c r="I189" s="9">
        <v>283.0</v>
      </c>
      <c r="J189" s="9" t="s">
        <v>21</v>
      </c>
      <c r="K189" s="9" t="s">
        <v>22</v>
      </c>
      <c r="L189" s="11" t="s">
        <v>23</v>
      </c>
      <c r="M189" s="11" t="s">
        <v>24</v>
      </c>
      <c r="N189" s="9" t="s">
        <v>25</v>
      </c>
      <c r="O189" s="14">
        <f t="shared" si="3"/>
        <v>47450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1.5" customHeight="1">
      <c r="A190" s="15">
        <v>186.0</v>
      </c>
      <c r="B190" s="10" t="s">
        <v>566</v>
      </c>
      <c r="C190" s="11" t="s">
        <v>562</v>
      </c>
      <c r="D190" s="12" t="s">
        <v>567</v>
      </c>
      <c r="E190" s="12">
        <v>2022.0</v>
      </c>
      <c r="F190" s="13" t="s">
        <v>19</v>
      </c>
      <c r="G190" s="9"/>
      <c r="H190" s="11" t="s">
        <v>107</v>
      </c>
      <c r="I190" s="9">
        <v>379.0</v>
      </c>
      <c r="J190" s="9" t="s">
        <v>21</v>
      </c>
      <c r="K190" s="9" t="s">
        <v>22</v>
      </c>
      <c r="L190" s="11" t="s">
        <v>23</v>
      </c>
      <c r="M190" s="11" t="s">
        <v>24</v>
      </c>
      <c r="N190" s="9" t="s">
        <v>25</v>
      </c>
      <c r="O190" s="14">
        <f t="shared" si="3"/>
        <v>61850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1.5" customHeight="1">
      <c r="A191" s="15">
        <v>187.0</v>
      </c>
      <c r="B191" s="10" t="s">
        <v>86</v>
      </c>
      <c r="C191" s="11" t="s">
        <v>568</v>
      </c>
      <c r="D191" s="12" t="s">
        <v>569</v>
      </c>
      <c r="E191" s="12">
        <v>2022.0</v>
      </c>
      <c r="F191" s="13" t="s">
        <v>19</v>
      </c>
      <c r="G191" s="9"/>
      <c r="H191" s="11" t="s">
        <v>107</v>
      </c>
      <c r="I191" s="9">
        <v>235.0</v>
      </c>
      <c r="J191" s="9" t="s">
        <v>21</v>
      </c>
      <c r="K191" s="9" t="s">
        <v>22</v>
      </c>
      <c r="L191" s="11" t="s">
        <v>23</v>
      </c>
      <c r="M191" s="11" t="s">
        <v>24</v>
      </c>
      <c r="N191" s="9" t="s">
        <v>25</v>
      </c>
      <c r="O191" s="14">
        <f t="shared" si="3"/>
        <v>40250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1.5" customHeight="1">
      <c r="A192" s="15">
        <v>188.0</v>
      </c>
      <c r="B192" s="10" t="s">
        <v>570</v>
      </c>
      <c r="C192" s="11" t="s">
        <v>571</v>
      </c>
      <c r="D192" s="12" t="s">
        <v>572</v>
      </c>
      <c r="E192" s="12">
        <v>2022.0</v>
      </c>
      <c r="F192" s="13" t="s">
        <v>19</v>
      </c>
      <c r="G192" s="9"/>
      <c r="H192" s="11" t="s">
        <v>290</v>
      </c>
      <c r="I192" s="9">
        <v>112.0</v>
      </c>
      <c r="J192" s="9" t="s">
        <v>21</v>
      </c>
      <c r="K192" s="9" t="s">
        <v>22</v>
      </c>
      <c r="L192" s="11" t="s">
        <v>23</v>
      </c>
      <c r="M192" s="11" t="s">
        <v>24</v>
      </c>
      <c r="N192" s="9" t="s">
        <v>25</v>
      </c>
      <c r="O192" s="14">
        <f t="shared" si="3"/>
        <v>28160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1.5" customHeight="1">
      <c r="A193" s="15">
        <v>189.0</v>
      </c>
      <c r="B193" s="10" t="s">
        <v>573</v>
      </c>
      <c r="C193" s="11" t="s">
        <v>574</v>
      </c>
      <c r="D193" s="12" t="s">
        <v>575</v>
      </c>
      <c r="E193" s="12">
        <v>2022.0</v>
      </c>
      <c r="F193" s="13" t="s">
        <v>19</v>
      </c>
      <c r="G193" s="9"/>
      <c r="H193" s="11" t="s">
        <v>107</v>
      </c>
      <c r="I193" s="9">
        <v>114.0</v>
      </c>
      <c r="J193" s="9" t="s">
        <v>21</v>
      </c>
      <c r="K193" s="9" t="s">
        <v>22</v>
      </c>
      <c r="L193" s="11" t="s">
        <v>23</v>
      </c>
      <c r="M193" s="11" t="s">
        <v>24</v>
      </c>
      <c r="N193" s="9" t="s">
        <v>25</v>
      </c>
      <c r="O193" s="14">
        <f t="shared" si="3"/>
        <v>22100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1.5" customHeight="1">
      <c r="A194" s="15">
        <v>190.0</v>
      </c>
      <c r="B194" s="10" t="s">
        <v>576</v>
      </c>
      <c r="C194" s="11" t="s">
        <v>562</v>
      </c>
      <c r="D194" s="12" t="s">
        <v>577</v>
      </c>
      <c r="E194" s="12">
        <v>2022.0</v>
      </c>
      <c r="F194" s="13" t="s">
        <v>19</v>
      </c>
      <c r="G194" s="9"/>
      <c r="H194" s="11" t="s">
        <v>107</v>
      </c>
      <c r="I194" s="9">
        <v>311.0</v>
      </c>
      <c r="J194" s="9" t="s">
        <v>21</v>
      </c>
      <c r="K194" s="9" t="s">
        <v>22</v>
      </c>
      <c r="L194" s="11" t="s">
        <v>23</v>
      </c>
      <c r="M194" s="11" t="s">
        <v>24</v>
      </c>
      <c r="N194" s="9" t="s">
        <v>25</v>
      </c>
      <c r="O194" s="14">
        <f t="shared" si="3"/>
        <v>51650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1.5" customHeight="1">
      <c r="A195" s="15">
        <v>191.0</v>
      </c>
      <c r="B195" s="10" t="s">
        <v>578</v>
      </c>
      <c r="C195" s="11" t="s">
        <v>579</v>
      </c>
      <c r="D195" s="12" t="s">
        <v>580</v>
      </c>
      <c r="E195" s="12">
        <v>2022.0</v>
      </c>
      <c r="F195" s="13" t="s">
        <v>19</v>
      </c>
      <c r="G195" s="9"/>
      <c r="H195" s="11" t="s">
        <v>107</v>
      </c>
      <c r="I195" s="9">
        <v>678.0</v>
      </c>
      <c r="J195" s="9" t="s">
        <v>21</v>
      </c>
      <c r="K195" s="9" t="s">
        <v>22</v>
      </c>
      <c r="L195" s="11" t="s">
        <v>23</v>
      </c>
      <c r="M195" s="11" t="s">
        <v>24</v>
      </c>
      <c r="N195" s="9" t="s">
        <v>25</v>
      </c>
      <c r="O195" s="14">
        <f t="shared" si="3"/>
        <v>106700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1.5" customHeight="1">
      <c r="A196" s="15">
        <v>192.0</v>
      </c>
      <c r="B196" s="10" t="s">
        <v>581</v>
      </c>
      <c r="C196" s="11" t="s">
        <v>582</v>
      </c>
      <c r="D196" s="12" t="s">
        <v>583</v>
      </c>
      <c r="E196" s="12">
        <v>2022.0</v>
      </c>
      <c r="F196" s="13" t="s">
        <v>19</v>
      </c>
      <c r="G196" s="9" t="s">
        <v>360</v>
      </c>
      <c r="H196" s="11" t="s">
        <v>107</v>
      </c>
      <c r="I196" s="9">
        <v>153.0</v>
      </c>
      <c r="J196" s="9" t="s">
        <v>21</v>
      </c>
      <c r="K196" s="9" t="s">
        <v>22</v>
      </c>
      <c r="L196" s="11" t="s">
        <v>23</v>
      </c>
      <c r="M196" s="11" t="s">
        <v>24</v>
      </c>
      <c r="N196" s="9" t="s">
        <v>25</v>
      </c>
      <c r="O196" s="14">
        <f t="shared" si="3"/>
        <v>27950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1.5" customHeight="1">
      <c r="A197" s="15">
        <v>193.0</v>
      </c>
      <c r="B197" s="10" t="s">
        <v>584</v>
      </c>
      <c r="C197" s="11" t="s">
        <v>585</v>
      </c>
      <c r="D197" s="12" t="s">
        <v>586</v>
      </c>
      <c r="E197" s="12">
        <v>2022.0</v>
      </c>
      <c r="F197" s="13" t="s">
        <v>19</v>
      </c>
      <c r="G197" s="9"/>
      <c r="H197" s="11" t="s">
        <v>107</v>
      </c>
      <c r="I197" s="9">
        <v>416.0</v>
      </c>
      <c r="J197" s="9" t="s">
        <v>21</v>
      </c>
      <c r="K197" s="9" t="s">
        <v>22</v>
      </c>
      <c r="L197" s="11" t="s">
        <v>23</v>
      </c>
      <c r="M197" s="11" t="s">
        <v>24</v>
      </c>
      <c r="N197" s="9" t="s">
        <v>25</v>
      </c>
      <c r="O197" s="14">
        <f t="shared" si="3"/>
        <v>67400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1.5" customHeight="1">
      <c r="A198" s="15">
        <v>194.0</v>
      </c>
      <c r="B198" s="10" t="s">
        <v>587</v>
      </c>
      <c r="C198" s="11" t="s">
        <v>588</v>
      </c>
      <c r="D198" s="12" t="s">
        <v>589</v>
      </c>
      <c r="E198" s="12">
        <v>2022.0</v>
      </c>
      <c r="F198" s="13" t="s">
        <v>19</v>
      </c>
      <c r="G198" s="9"/>
      <c r="H198" s="11" t="s">
        <v>290</v>
      </c>
      <c r="I198" s="9">
        <v>112.0</v>
      </c>
      <c r="J198" s="9" t="s">
        <v>21</v>
      </c>
      <c r="K198" s="9" t="s">
        <v>22</v>
      </c>
      <c r="L198" s="11" t="s">
        <v>23</v>
      </c>
      <c r="M198" s="11" t="s">
        <v>24</v>
      </c>
      <c r="N198" s="9" t="s">
        <v>25</v>
      </c>
      <c r="O198" s="14">
        <f t="shared" si="3"/>
        <v>28160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1.5" customHeight="1">
      <c r="A199" s="15">
        <v>195.0</v>
      </c>
      <c r="B199" s="10" t="s">
        <v>590</v>
      </c>
      <c r="C199" s="11" t="s">
        <v>591</v>
      </c>
      <c r="D199" s="12" t="s">
        <v>592</v>
      </c>
      <c r="E199" s="12">
        <v>2022.0</v>
      </c>
      <c r="F199" s="13" t="s">
        <v>19</v>
      </c>
      <c r="G199" s="9"/>
      <c r="H199" s="11" t="s">
        <v>290</v>
      </c>
      <c r="I199" s="9">
        <v>158.0</v>
      </c>
      <c r="J199" s="9" t="s">
        <v>21</v>
      </c>
      <c r="K199" s="9" t="s">
        <v>22</v>
      </c>
      <c r="L199" s="11" t="s">
        <v>23</v>
      </c>
      <c r="M199" s="11" t="s">
        <v>24</v>
      </c>
      <c r="N199" s="9" t="s">
        <v>25</v>
      </c>
      <c r="O199" s="14">
        <f t="shared" si="3"/>
        <v>36440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1.5" customHeight="1">
      <c r="A200" s="15">
        <v>196.0</v>
      </c>
      <c r="B200" s="10" t="s">
        <v>593</v>
      </c>
      <c r="C200" s="11" t="s">
        <v>594</v>
      </c>
      <c r="D200" s="12" t="s">
        <v>595</v>
      </c>
      <c r="E200" s="12">
        <v>2022.0</v>
      </c>
      <c r="F200" s="13" t="s">
        <v>19</v>
      </c>
      <c r="G200" s="9" t="s">
        <v>360</v>
      </c>
      <c r="H200" s="11" t="s">
        <v>107</v>
      </c>
      <c r="I200" s="9">
        <v>88.0</v>
      </c>
      <c r="J200" s="9" t="s">
        <v>21</v>
      </c>
      <c r="K200" s="9" t="s">
        <v>22</v>
      </c>
      <c r="L200" s="11" t="s">
        <v>23</v>
      </c>
      <c r="M200" s="11" t="s">
        <v>24</v>
      </c>
      <c r="N200" s="9" t="s">
        <v>25</v>
      </c>
      <c r="O200" s="14">
        <f t="shared" si="3"/>
        <v>18200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1.5" customHeight="1">
      <c r="A201" s="15">
        <v>197.0</v>
      </c>
      <c r="B201" s="10" t="s">
        <v>596</v>
      </c>
      <c r="C201" s="11" t="s">
        <v>597</v>
      </c>
      <c r="D201" s="12" t="s">
        <v>598</v>
      </c>
      <c r="E201" s="12">
        <v>2021.0</v>
      </c>
      <c r="F201" s="13" t="s">
        <v>19</v>
      </c>
      <c r="G201" s="9"/>
      <c r="H201" s="11" t="s">
        <v>20</v>
      </c>
      <c r="I201" s="9">
        <v>141.0</v>
      </c>
      <c r="J201" s="9" t="s">
        <v>21</v>
      </c>
      <c r="K201" s="9" t="s">
        <v>22</v>
      </c>
      <c r="L201" s="11" t="s">
        <v>23</v>
      </c>
      <c r="M201" s="11" t="s">
        <v>24</v>
      </c>
      <c r="N201" s="9" t="s">
        <v>25</v>
      </c>
      <c r="O201" s="14">
        <f t="shared" si="3"/>
        <v>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1.5" customHeight="1">
      <c r="A202" s="15">
        <v>198.0</v>
      </c>
      <c r="B202" s="10" t="s">
        <v>599</v>
      </c>
      <c r="C202" s="11" t="s">
        <v>600</v>
      </c>
      <c r="D202" s="12" t="s">
        <v>601</v>
      </c>
      <c r="E202" s="12">
        <v>2021.0</v>
      </c>
      <c r="F202" s="13" t="s">
        <v>19</v>
      </c>
      <c r="G202" s="9"/>
      <c r="H202" s="11" t="s">
        <v>107</v>
      </c>
      <c r="I202" s="9">
        <v>152.0</v>
      </c>
      <c r="J202" s="9" t="s">
        <v>21</v>
      </c>
      <c r="K202" s="9" t="s">
        <v>22</v>
      </c>
      <c r="L202" s="11" t="s">
        <v>23</v>
      </c>
      <c r="M202" s="11" t="s">
        <v>24</v>
      </c>
      <c r="N202" s="9" t="s">
        <v>25</v>
      </c>
      <c r="O202" s="14">
        <f t="shared" si="3"/>
        <v>27800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1.5" customHeight="1">
      <c r="A203" s="15">
        <v>199.0</v>
      </c>
      <c r="B203" s="10" t="s">
        <v>602</v>
      </c>
      <c r="C203" s="11" t="s">
        <v>603</v>
      </c>
      <c r="D203" s="12" t="s">
        <v>604</v>
      </c>
      <c r="E203" s="12">
        <v>2021.0</v>
      </c>
      <c r="F203" s="13" t="s">
        <v>19</v>
      </c>
      <c r="G203" s="9"/>
      <c r="H203" s="11" t="s">
        <v>107</v>
      </c>
      <c r="I203" s="9">
        <v>281.0</v>
      </c>
      <c r="J203" s="9" t="s">
        <v>21</v>
      </c>
      <c r="K203" s="9" t="s">
        <v>22</v>
      </c>
      <c r="L203" s="11" t="s">
        <v>23</v>
      </c>
      <c r="M203" s="11" t="s">
        <v>24</v>
      </c>
      <c r="N203" s="9" t="s">
        <v>25</v>
      </c>
      <c r="O203" s="14">
        <f t="shared" si="3"/>
        <v>47150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1.5" customHeight="1">
      <c r="A204" s="15">
        <v>200.0</v>
      </c>
      <c r="B204" s="10" t="s">
        <v>605</v>
      </c>
      <c r="C204" s="11" t="s">
        <v>371</v>
      </c>
      <c r="D204" s="12" t="s">
        <v>606</v>
      </c>
      <c r="E204" s="12">
        <v>2021.0</v>
      </c>
      <c r="F204" s="13" t="s">
        <v>19</v>
      </c>
      <c r="G204" s="9"/>
      <c r="H204" s="11" t="s">
        <v>107</v>
      </c>
      <c r="I204" s="9">
        <v>133.0</v>
      </c>
      <c r="J204" s="9" t="s">
        <v>21</v>
      </c>
      <c r="K204" s="9" t="s">
        <v>22</v>
      </c>
      <c r="L204" s="11" t="s">
        <v>23</v>
      </c>
      <c r="M204" s="11" t="s">
        <v>24</v>
      </c>
      <c r="N204" s="9" t="s">
        <v>25</v>
      </c>
      <c r="O204" s="14">
        <f t="shared" si="3"/>
        <v>24950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1.5" customHeight="1">
      <c r="A205" s="15">
        <v>201.0</v>
      </c>
      <c r="B205" s="10" t="s">
        <v>607</v>
      </c>
      <c r="C205" s="11" t="s">
        <v>608</v>
      </c>
      <c r="D205" s="12" t="s">
        <v>609</v>
      </c>
      <c r="E205" s="12">
        <v>2021.0</v>
      </c>
      <c r="F205" s="13" t="s">
        <v>19</v>
      </c>
      <c r="G205" s="9"/>
      <c r="H205" s="11" t="s">
        <v>107</v>
      </c>
      <c r="I205" s="9">
        <v>254.0</v>
      </c>
      <c r="J205" s="9" t="s">
        <v>21</v>
      </c>
      <c r="K205" s="9" t="s">
        <v>22</v>
      </c>
      <c r="L205" s="11" t="s">
        <v>23</v>
      </c>
      <c r="M205" s="11" t="s">
        <v>24</v>
      </c>
      <c r="N205" s="9" t="s">
        <v>25</v>
      </c>
      <c r="O205" s="14">
        <f t="shared" si="3"/>
        <v>43100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1.5" customHeight="1">
      <c r="A206" s="15">
        <v>202.0</v>
      </c>
      <c r="B206" s="10" t="s">
        <v>610</v>
      </c>
      <c r="C206" s="11" t="s">
        <v>611</v>
      </c>
      <c r="D206" s="12" t="s">
        <v>612</v>
      </c>
      <c r="E206" s="12">
        <v>2021.0</v>
      </c>
      <c r="F206" s="13" t="s">
        <v>19</v>
      </c>
      <c r="G206" s="9" t="s">
        <v>360</v>
      </c>
      <c r="H206" s="11" t="s">
        <v>107</v>
      </c>
      <c r="I206" s="9">
        <v>375.0</v>
      </c>
      <c r="J206" s="9" t="s">
        <v>21</v>
      </c>
      <c r="K206" s="9" t="s">
        <v>22</v>
      </c>
      <c r="L206" s="11" t="s">
        <v>23</v>
      </c>
      <c r="M206" s="11" t="s">
        <v>24</v>
      </c>
      <c r="N206" s="9" t="s">
        <v>25</v>
      </c>
      <c r="O206" s="14">
        <f t="shared" si="3"/>
        <v>61250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1.5" customHeight="1">
      <c r="A207" s="15">
        <v>203.0</v>
      </c>
      <c r="B207" s="10" t="s">
        <v>613</v>
      </c>
      <c r="C207" s="11" t="s">
        <v>614</v>
      </c>
      <c r="D207" s="12" t="s">
        <v>615</v>
      </c>
      <c r="E207" s="12">
        <v>2021.0</v>
      </c>
      <c r="F207" s="13" t="s">
        <v>19</v>
      </c>
      <c r="G207" s="9"/>
      <c r="H207" s="11" t="s">
        <v>107</v>
      </c>
      <c r="I207" s="9">
        <v>100.0</v>
      </c>
      <c r="J207" s="9" t="s">
        <v>21</v>
      </c>
      <c r="K207" s="9" t="s">
        <v>22</v>
      </c>
      <c r="L207" s="11" t="s">
        <v>23</v>
      </c>
      <c r="M207" s="11" t="s">
        <v>24</v>
      </c>
      <c r="N207" s="9" t="s">
        <v>25</v>
      </c>
      <c r="O207" s="14">
        <f t="shared" si="3"/>
        <v>20000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1.5" customHeight="1">
      <c r="A208" s="15">
        <v>204.0</v>
      </c>
      <c r="B208" s="10" t="s">
        <v>616</v>
      </c>
      <c r="C208" s="11" t="s">
        <v>617</v>
      </c>
      <c r="D208" s="12" t="s">
        <v>618</v>
      </c>
      <c r="E208" s="12">
        <v>2021.0</v>
      </c>
      <c r="F208" s="13" t="s">
        <v>19</v>
      </c>
      <c r="G208" s="9"/>
      <c r="H208" s="11" t="s">
        <v>107</v>
      </c>
      <c r="I208" s="9">
        <v>365.0</v>
      </c>
      <c r="J208" s="9" t="s">
        <v>21</v>
      </c>
      <c r="K208" s="9" t="s">
        <v>22</v>
      </c>
      <c r="L208" s="11" t="s">
        <v>23</v>
      </c>
      <c r="M208" s="11" t="s">
        <v>24</v>
      </c>
      <c r="N208" s="9" t="s">
        <v>25</v>
      </c>
      <c r="O208" s="14">
        <f t="shared" si="3"/>
        <v>59750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1.5" customHeight="1">
      <c r="A209" s="15">
        <v>205.0</v>
      </c>
      <c r="B209" s="10" t="s">
        <v>619</v>
      </c>
      <c r="C209" s="11" t="s">
        <v>620</v>
      </c>
      <c r="D209" s="12" t="s">
        <v>621</v>
      </c>
      <c r="E209" s="12">
        <v>2021.0</v>
      </c>
      <c r="F209" s="13" t="s">
        <v>19</v>
      </c>
      <c r="G209" s="9" t="s">
        <v>360</v>
      </c>
      <c r="H209" s="11" t="s">
        <v>107</v>
      </c>
      <c r="I209" s="9">
        <v>161.0</v>
      </c>
      <c r="J209" s="9" t="s">
        <v>21</v>
      </c>
      <c r="K209" s="9" t="s">
        <v>22</v>
      </c>
      <c r="L209" s="11" t="s">
        <v>23</v>
      </c>
      <c r="M209" s="11" t="s">
        <v>24</v>
      </c>
      <c r="N209" s="9" t="s">
        <v>25</v>
      </c>
      <c r="O209" s="14">
        <f t="shared" si="3"/>
        <v>29150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1.5" customHeight="1">
      <c r="A210" s="15">
        <v>206.0</v>
      </c>
      <c r="B210" s="10" t="s">
        <v>622</v>
      </c>
      <c r="C210" s="11" t="s">
        <v>623</v>
      </c>
      <c r="D210" s="12" t="s">
        <v>624</v>
      </c>
      <c r="E210" s="12">
        <v>2021.0</v>
      </c>
      <c r="F210" s="13" t="s">
        <v>19</v>
      </c>
      <c r="G210" s="9"/>
      <c r="H210" s="11" t="s">
        <v>107</v>
      </c>
      <c r="I210" s="9">
        <v>107.0</v>
      </c>
      <c r="J210" s="9" t="s">
        <v>21</v>
      </c>
      <c r="K210" s="9" t="s">
        <v>22</v>
      </c>
      <c r="L210" s="11" t="s">
        <v>23</v>
      </c>
      <c r="M210" s="11" t="s">
        <v>24</v>
      </c>
      <c r="N210" s="9" t="s">
        <v>25</v>
      </c>
      <c r="O210" s="14">
        <f t="shared" si="3"/>
        <v>21050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1.5" customHeight="1">
      <c r="A211" s="15">
        <v>207.0</v>
      </c>
      <c r="B211" s="10" t="s">
        <v>625</v>
      </c>
      <c r="C211" s="11" t="s">
        <v>626</v>
      </c>
      <c r="D211" s="12" t="s">
        <v>627</v>
      </c>
      <c r="E211" s="12">
        <v>2021.0</v>
      </c>
      <c r="F211" s="13" t="s">
        <v>19</v>
      </c>
      <c r="G211" s="9"/>
      <c r="H211" s="11" t="s">
        <v>20</v>
      </c>
      <c r="I211" s="15"/>
      <c r="J211" s="9" t="s">
        <v>21</v>
      </c>
      <c r="K211" s="9" t="s">
        <v>22</v>
      </c>
      <c r="L211" s="11" t="s">
        <v>23</v>
      </c>
      <c r="M211" s="11" t="s">
        <v>24</v>
      </c>
      <c r="N211" s="9" t="s">
        <v>25</v>
      </c>
      <c r="O211" s="14">
        <f t="shared" si="3"/>
        <v>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6.5" customHeight="1">
      <c r="A212" s="15">
        <v>208.0</v>
      </c>
      <c r="B212" s="10" t="s">
        <v>628</v>
      </c>
      <c r="C212" s="11" t="s">
        <v>629</v>
      </c>
      <c r="D212" s="12" t="s">
        <v>630</v>
      </c>
      <c r="E212" s="12">
        <v>2021.0</v>
      </c>
      <c r="F212" s="13" t="s">
        <v>19</v>
      </c>
      <c r="G212" s="9"/>
      <c r="H212" s="11" t="s">
        <v>107</v>
      </c>
      <c r="I212" s="9">
        <v>100.0</v>
      </c>
      <c r="J212" s="9" t="s">
        <v>21</v>
      </c>
      <c r="K212" s="9" t="s">
        <v>22</v>
      </c>
      <c r="L212" s="11" t="s">
        <v>23</v>
      </c>
      <c r="M212" s="11" t="s">
        <v>24</v>
      </c>
      <c r="N212" s="9" t="s">
        <v>25</v>
      </c>
      <c r="O212" s="14">
        <f t="shared" si="3"/>
        <v>20000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1.5" customHeight="1">
      <c r="A213" s="15">
        <v>209.0</v>
      </c>
      <c r="B213" s="10" t="s">
        <v>631</v>
      </c>
      <c r="C213" s="11" t="s">
        <v>611</v>
      </c>
      <c r="D213" s="12" t="s">
        <v>632</v>
      </c>
      <c r="E213" s="12">
        <v>2021.0</v>
      </c>
      <c r="F213" s="13" t="s">
        <v>19</v>
      </c>
      <c r="G213" s="9"/>
      <c r="H213" s="11" t="s">
        <v>20</v>
      </c>
      <c r="I213" s="9">
        <v>346.0</v>
      </c>
      <c r="J213" s="9" t="s">
        <v>21</v>
      </c>
      <c r="K213" s="9" t="s">
        <v>22</v>
      </c>
      <c r="L213" s="11" t="s">
        <v>23</v>
      </c>
      <c r="M213" s="11" t="s">
        <v>24</v>
      </c>
      <c r="N213" s="9" t="s">
        <v>25</v>
      </c>
      <c r="O213" s="14">
        <f t="shared" si="3"/>
        <v>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1.5" customHeight="1">
      <c r="A214" s="15">
        <v>210.0</v>
      </c>
      <c r="B214" s="10" t="s">
        <v>633</v>
      </c>
      <c r="C214" s="11" t="s">
        <v>634</v>
      </c>
      <c r="D214" s="12" t="s">
        <v>635</v>
      </c>
      <c r="E214" s="12">
        <v>2021.0</v>
      </c>
      <c r="F214" s="13" t="s">
        <v>19</v>
      </c>
      <c r="G214" s="9" t="s">
        <v>360</v>
      </c>
      <c r="H214" s="11" t="s">
        <v>636</v>
      </c>
      <c r="I214" s="9">
        <v>230.0</v>
      </c>
      <c r="J214" s="9" t="s">
        <v>21</v>
      </c>
      <c r="K214" s="9" t="s">
        <v>22</v>
      </c>
      <c r="L214" s="11" t="s">
        <v>23</v>
      </c>
      <c r="M214" s="11" t="s">
        <v>24</v>
      </c>
      <c r="N214" s="9" t="s">
        <v>25</v>
      </c>
      <c r="O214" s="14">
        <f t="shared" si="3"/>
        <v>54000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1.5" customHeight="1">
      <c r="A215" s="15">
        <v>211.0</v>
      </c>
      <c r="B215" s="10" t="s">
        <v>637</v>
      </c>
      <c r="C215" s="11" t="s">
        <v>638</v>
      </c>
      <c r="D215" s="12" t="s">
        <v>639</v>
      </c>
      <c r="E215" s="12">
        <v>2021.0</v>
      </c>
      <c r="F215" s="13" t="s">
        <v>19</v>
      </c>
      <c r="G215" s="9" t="s">
        <v>360</v>
      </c>
      <c r="H215" s="11" t="s">
        <v>107</v>
      </c>
      <c r="I215" s="9">
        <v>342.0</v>
      </c>
      <c r="J215" s="9" t="s">
        <v>21</v>
      </c>
      <c r="K215" s="9" t="s">
        <v>22</v>
      </c>
      <c r="L215" s="11" t="s">
        <v>23</v>
      </c>
      <c r="M215" s="11" t="s">
        <v>24</v>
      </c>
      <c r="N215" s="9" t="s">
        <v>25</v>
      </c>
      <c r="O215" s="14">
        <f t="shared" si="3"/>
        <v>56300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1.5" customHeight="1">
      <c r="A216" s="15">
        <v>212.0</v>
      </c>
      <c r="B216" s="10" t="s">
        <v>640</v>
      </c>
      <c r="C216" s="11" t="s">
        <v>641</v>
      </c>
      <c r="D216" s="12" t="s">
        <v>642</v>
      </c>
      <c r="E216" s="12">
        <v>2021.0</v>
      </c>
      <c r="F216" s="13" t="s">
        <v>19</v>
      </c>
      <c r="G216" s="9"/>
      <c r="H216" s="11" t="s">
        <v>290</v>
      </c>
      <c r="I216" s="9">
        <v>306.0</v>
      </c>
      <c r="J216" s="9" t="s">
        <v>21</v>
      </c>
      <c r="K216" s="9" t="s">
        <v>22</v>
      </c>
      <c r="L216" s="11" t="s">
        <v>23</v>
      </c>
      <c r="M216" s="11" t="s">
        <v>24</v>
      </c>
      <c r="N216" s="9" t="s">
        <v>25</v>
      </c>
      <c r="O216" s="14">
        <f t="shared" si="3"/>
        <v>63080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1.5" customHeight="1">
      <c r="A217" s="15">
        <v>213.0</v>
      </c>
      <c r="B217" s="10" t="s">
        <v>643</v>
      </c>
      <c r="C217" s="11" t="s">
        <v>644</v>
      </c>
      <c r="D217" s="12" t="s">
        <v>645</v>
      </c>
      <c r="E217" s="12">
        <v>2021.0</v>
      </c>
      <c r="F217" s="13" t="s">
        <v>19</v>
      </c>
      <c r="G217" s="9"/>
      <c r="H217" s="11" t="s">
        <v>290</v>
      </c>
      <c r="I217" s="9">
        <v>140.0</v>
      </c>
      <c r="J217" s="9" t="s">
        <v>21</v>
      </c>
      <c r="K217" s="9" t="s">
        <v>22</v>
      </c>
      <c r="L217" s="11" t="s">
        <v>23</v>
      </c>
      <c r="M217" s="11" t="s">
        <v>24</v>
      </c>
      <c r="N217" s="9" t="s">
        <v>25</v>
      </c>
      <c r="O217" s="14">
        <f t="shared" si="3"/>
        <v>33200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1.5" customHeight="1">
      <c r="A218" s="15">
        <v>214.0</v>
      </c>
      <c r="B218" s="10" t="s">
        <v>646</v>
      </c>
      <c r="C218" s="11" t="s">
        <v>647</v>
      </c>
      <c r="D218" s="12" t="s">
        <v>648</v>
      </c>
      <c r="E218" s="12">
        <v>2021.0</v>
      </c>
      <c r="F218" s="13" t="s">
        <v>19</v>
      </c>
      <c r="G218" s="9"/>
      <c r="H218" s="11" t="s">
        <v>107</v>
      </c>
      <c r="I218" s="9">
        <v>54.0</v>
      </c>
      <c r="J218" s="9" t="s">
        <v>21</v>
      </c>
      <c r="K218" s="9" t="s">
        <v>22</v>
      </c>
      <c r="L218" s="11" t="s">
        <v>23</v>
      </c>
      <c r="M218" s="11" t="s">
        <v>24</v>
      </c>
      <c r="N218" s="9" t="s">
        <v>25</v>
      </c>
      <c r="O218" s="14">
        <f t="shared" si="3"/>
        <v>13100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1.5" customHeight="1">
      <c r="A219" s="15">
        <v>215.0</v>
      </c>
      <c r="B219" s="10" t="s">
        <v>649</v>
      </c>
      <c r="C219" s="11" t="s">
        <v>650</v>
      </c>
      <c r="D219" s="12" t="s">
        <v>651</v>
      </c>
      <c r="E219" s="12">
        <v>2021.0</v>
      </c>
      <c r="F219" s="13" t="s">
        <v>19</v>
      </c>
      <c r="G219" s="9"/>
      <c r="H219" s="11" t="s">
        <v>290</v>
      </c>
      <c r="I219" s="9">
        <v>258.0</v>
      </c>
      <c r="J219" s="9" t="s">
        <v>21</v>
      </c>
      <c r="K219" s="9" t="s">
        <v>22</v>
      </c>
      <c r="L219" s="11" t="s">
        <v>23</v>
      </c>
      <c r="M219" s="11" t="s">
        <v>24</v>
      </c>
      <c r="N219" s="9" t="s">
        <v>25</v>
      </c>
      <c r="O219" s="14">
        <f t="shared" si="3"/>
        <v>54440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1.5" customHeight="1">
      <c r="A220" s="15">
        <v>216.0</v>
      </c>
      <c r="B220" s="10" t="s">
        <v>652</v>
      </c>
      <c r="C220" s="11" t="s">
        <v>653</v>
      </c>
      <c r="D220" s="12" t="s">
        <v>654</v>
      </c>
      <c r="E220" s="12">
        <v>2021.0</v>
      </c>
      <c r="F220" s="13" t="s">
        <v>19</v>
      </c>
      <c r="G220" s="9"/>
      <c r="H220" s="11" t="s">
        <v>107</v>
      </c>
      <c r="I220" s="9">
        <v>196.0</v>
      </c>
      <c r="J220" s="9" t="s">
        <v>21</v>
      </c>
      <c r="K220" s="9" t="s">
        <v>22</v>
      </c>
      <c r="L220" s="11" t="s">
        <v>23</v>
      </c>
      <c r="M220" s="11" t="s">
        <v>24</v>
      </c>
      <c r="N220" s="9" t="s">
        <v>25</v>
      </c>
      <c r="O220" s="14">
        <f t="shared" si="3"/>
        <v>34400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1.5" customHeight="1">
      <c r="A221" s="15">
        <v>217.0</v>
      </c>
      <c r="B221" s="10" t="s">
        <v>655</v>
      </c>
      <c r="C221" s="11" t="s">
        <v>656</v>
      </c>
      <c r="D221" s="12" t="s">
        <v>657</v>
      </c>
      <c r="E221" s="12">
        <v>2021.0</v>
      </c>
      <c r="F221" s="13" t="s">
        <v>19</v>
      </c>
      <c r="G221" s="9"/>
      <c r="H221" s="11" t="s">
        <v>107</v>
      </c>
      <c r="I221" s="9">
        <v>109.0</v>
      </c>
      <c r="J221" s="9" t="s">
        <v>21</v>
      </c>
      <c r="K221" s="9" t="s">
        <v>22</v>
      </c>
      <c r="L221" s="11" t="s">
        <v>23</v>
      </c>
      <c r="M221" s="11" t="s">
        <v>24</v>
      </c>
      <c r="N221" s="9" t="s">
        <v>25</v>
      </c>
      <c r="O221" s="14">
        <f t="shared" si="3"/>
        <v>21350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1.5" customHeight="1">
      <c r="A222" s="15">
        <v>218.0</v>
      </c>
      <c r="B222" s="10" t="s">
        <v>658</v>
      </c>
      <c r="C222" s="11" t="s">
        <v>659</v>
      </c>
      <c r="D222" s="12" t="s">
        <v>660</v>
      </c>
      <c r="E222" s="12">
        <v>2021.0</v>
      </c>
      <c r="F222" s="13" t="s">
        <v>19</v>
      </c>
      <c r="G222" s="9"/>
      <c r="H222" s="11" t="s">
        <v>107</v>
      </c>
      <c r="I222" s="9">
        <v>171.0</v>
      </c>
      <c r="J222" s="9" t="s">
        <v>21</v>
      </c>
      <c r="K222" s="9" t="s">
        <v>22</v>
      </c>
      <c r="L222" s="11" t="s">
        <v>23</v>
      </c>
      <c r="M222" s="11" t="s">
        <v>24</v>
      </c>
      <c r="N222" s="9" t="s">
        <v>25</v>
      </c>
      <c r="O222" s="14">
        <f t="shared" si="3"/>
        <v>30650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1.5" customHeight="1">
      <c r="A223" s="15">
        <v>219.0</v>
      </c>
      <c r="B223" s="10" t="s">
        <v>661</v>
      </c>
      <c r="C223" s="11" t="s">
        <v>662</v>
      </c>
      <c r="D223" s="12" t="s">
        <v>663</v>
      </c>
      <c r="E223" s="12">
        <v>2021.0</v>
      </c>
      <c r="F223" s="13" t="s">
        <v>19</v>
      </c>
      <c r="G223" s="9"/>
      <c r="H223" s="11" t="s">
        <v>107</v>
      </c>
      <c r="I223" s="9">
        <v>370.0</v>
      </c>
      <c r="J223" s="9" t="s">
        <v>21</v>
      </c>
      <c r="K223" s="9" t="s">
        <v>22</v>
      </c>
      <c r="L223" s="11" t="s">
        <v>23</v>
      </c>
      <c r="M223" s="11" t="s">
        <v>24</v>
      </c>
      <c r="N223" s="9" t="s">
        <v>25</v>
      </c>
      <c r="O223" s="14">
        <f t="shared" si="3"/>
        <v>60500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1.5" customHeight="1">
      <c r="A224" s="15">
        <v>220.0</v>
      </c>
      <c r="B224" s="10" t="s">
        <v>664</v>
      </c>
      <c r="C224" s="11" t="s">
        <v>665</v>
      </c>
      <c r="D224" s="12" t="s">
        <v>666</v>
      </c>
      <c r="E224" s="12">
        <v>2021.0</v>
      </c>
      <c r="F224" s="13" t="s">
        <v>19</v>
      </c>
      <c r="G224" s="9"/>
      <c r="H224" s="11" t="s">
        <v>107</v>
      </c>
      <c r="I224" s="9">
        <v>227.0</v>
      </c>
      <c r="J224" s="9" t="s">
        <v>21</v>
      </c>
      <c r="K224" s="9" t="s">
        <v>22</v>
      </c>
      <c r="L224" s="11" t="s">
        <v>23</v>
      </c>
      <c r="M224" s="11" t="s">
        <v>24</v>
      </c>
      <c r="N224" s="9" t="s">
        <v>25</v>
      </c>
      <c r="O224" s="14">
        <f t="shared" si="3"/>
        <v>39050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1.5" customHeight="1">
      <c r="A225" s="15">
        <v>221.0</v>
      </c>
      <c r="B225" s="10" t="s">
        <v>667</v>
      </c>
      <c r="C225" s="11" t="s">
        <v>668</v>
      </c>
      <c r="D225" s="12" t="s">
        <v>669</v>
      </c>
      <c r="E225" s="12">
        <v>2021.0</v>
      </c>
      <c r="F225" s="13" t="s">
        <v>19</v>
      </c>
      <c r="G225" s="9"/>
      <c r="H225" s="11" t="s">
        <v>636</v>
      </c>
      <c r="I225" s="9">
        <v>256.0</v>
      </c>
      <c r="J225" s="9" t="s">
        <v>21</v>
      </c>
      <c r="K225" s="9" t="s">
        <v>22</v>
      </c>
      <c r="L225" s="11" t="s">
        <v>23</v>
      </c>
      <c r="M225" s="11" t="s">
        <v>24</v>
      </c>
      <c r="N225" s="9" t="s">
        <v>25</v>
      </c>
      <c r="O225" s="14">
        <f t="shared" si="3"/>
        <v>59200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1.5" customHeight="1">
      <c r="A226" s="15">
        <v>222.0</v>
      </c>
      <c r="B226" s="10" t="s">
        <v>670</v>
      </c>
      <c r="C226" s="11" t="s">
        <v>671</v>
      </c>
      <c r="D226" s="12" t="s">
        <v>672</v>
      </c>
      <c r="E226" s="12">
        <v>2021.0</v>
      </c>
      <c r="F226" s="13" t="s">
        <v>19</v>
      </c>
      <c r="G226" s="9"/>
      <c r="H226" s="11" t="s">
        <v>290</v>
      </c>
      <c r="I226" s="9">
        <v>279.0</v>
      </c>
      <c r="J226" s="9" t="s">
        <v>21</v>
      </c>
      <c r="K226" s="9" t="s">
        <v>22</v>
      </c>
      <c r="L226" s="11" t="s">
        <v>23</v>
      </c>
      <c r="M226" s="11" t="s">
        <v>24</v>
      </c>
      <c r="N226" s="9" t="s">
        <v>25</v>
      </c>
      <c r="O226" s="14">
        <f t="shared" si="3"/>
        <v>58220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1.5" customHeight="1">
      <c r="A227" s="15">
        <v>223.0</v>
      </c>
      <c r="B227" s="10" t="s">
        <v>673</v>
      </c>
      <c r="C227" s="11" t="s">
        <v>674</v>
      </c>
      <c r="D227" s="12" t="s">
        <v>675</v>
      </c>
      <c r="E227" s="12">
        <v>2021.0</v>
      </c>
      <c r="F227" s="13" t="s">
        <v>19</v>
      </c>
      <c r="G227" s="9"/>
      <c r="H227" s="11" t="s">
        <v>676</v>
      </c>
      <c r="I227" s="9">
        <v>48.0</v>
      </c>
      <c r="J227" s="9" t="s">
        <v>21</v>
      </c>
      <c r="K227" s="9" t="s">
        <v>22</v>
      </c>
      <c r="L227" s="11" t="s">
        <v>23</v>
      </c>
      <c r="M227" s="11" t="s">
        <v>24</v>
      </c>
      <c r="N227" s="9" t="s">
        <v>25</v>
      </c>
      <c r="O227" s="14">
        <f>IFS(H227="A4",((I227*250)+10000),H227="A5",((I227*150)+5000),H227="B5",((I227*200)+8000),H227="UNESCO",((I227*180)+8000),TRUE,0)</f>
        <v>22000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1.5" customHeight="1">
      <c r="A228" s="15">
        <v>224.0</v>
      </c>
      <c r="B228" s="10" t="s">
        <v>677</v>
      </c>
      <c r="C228" s="11" t="s">
        <v>678</v>
      </c>
      <c r="D228" s="12" t="s">
        <v>679</v>
      </c>
      <c r="E228" s="12">
        <v>2021.0</v>
      </c>
      <c r="F228" s="13" t="s">
        <v>19</v>
      </c>
      <c r="G228" s="9"/>
      <c r="H228" s="11" t="s">
        <v>20</v>
      </c>
      <c r="I228" s="15"/>
      <c r="J228" s="9" t="s">
        <v>21</v>
      </c>
      <c r="K228" s="9" t="s">
        <v>22</v>
      </c>
      <c r="L228" s="11" t="s">
        <v>23</v>
      </c>
      <c r="M228" s="11" t="s">
        <v>24</v>
      </c>
      <c r="N228" s="9" t="s">
        <v>25</v>
      </c>
      <c r="O228" s="14">
        <f t="shared" ref="O228:O431" si="4">IFS(H228="A5",((I228*150)+5000),H228="B5",((I228*200)+8000),H228="UNESCO",((I228*180)+8000),TRUE,0)</f>
        <v>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1.5" customHeight="1">
      <c r="A229" s="15">
        <v>225.0</v>
      </c>
      <c r="B229" s="10" t="s">
        <v>680</v>
      </c>
      <c r="C229" s="11" t="s">
        <v>681</v>
      </c>
      <c r="D229" s="12" t="s">
        <v>682</v>
      </c>
      <c r="E229" s="12">
        <v>2021.0</v>
      </c>
      <c r="F229" s="13" t="s">
        <v>19</v>
      </c>
      <c r="G229" s="9"/>
      <c r="H229" s="11" t="s">
        <v>290</v>
      </c>
      <c r="I229" s="9">
        <v>127.0</v>
      </c>
      <c r="J229" s="9" t="s">
        <v>21</v>
      </c>
      <c r="K229" s="9" t="s">
        <v>22</v>
      </c>
      <c r="L229" s="11" t="s">
        <v>23</v>
      </c>
      <c r="M229" s="11" t="s">
        <v>24</v>
      </c>
      <c r="N229" s="9" t="s">
        <v>25</v>
      </c>
      <c r="O229" s="14">
        <f t="shared" si="4"/>
        <v>30860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1.5" customHeight="1">
      <c r="A230" s="15">
        <v>226.0</v>
      </c>
      <c r="B230" s="10" t="s">
        <v>683</v>
      </c>
      <c r="C230" s="11" t="s">
        <v>684</v>
      </c>
      <c r="D230" s="12" t="s">
        <v>685</v>
      </c>
      <c r="E230" s="12">
        <v>2021.0</v>
      </c>
      <c r="F230" s="13" t="s">
        <v>19</v>
      </c>
      <c r="G230" s="9"/>
      <c r="H230" s="11" t="s">
        <v>290</v>
      </c>
      <c r="I230" s="9">
        <v>176.0</v>
      </c>
      <c r="J230" s="9" t="s">
        <v>21</v>
      </c>
      <c r="K230" s="9" t="s">
        <v>22</v>
      </c>
      <c r="L230" s="11" t="s">
        <v>23</v>
      </c>
      <c r="M230" s="11" t="s">
        <v>24</v>
      </c>
      <c r="N230" s="9" t="s">
        <v>25</v>
      </c>
      <c r="O230" s="14">
        <f t="shared" si="4"/>
        <v>39680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1.5" customHeight="1">
      <c r="A231" s="15">
        <v>227.0</v>
      </c>
      <c r="B231" s="10" t="s">
        <v>686</v>
      </c>
      <c r="C231" s="11" t="s">
        <v>687</v>
      </c>
      <c r="D231" s="12" t="s">
        <v>688</v>
      </c>
      <c r="E231" s="12">
        <v>2021.0</v>
      </c>
      <c r="F231" s="13" t="s">
        <v>19</v>
      </c>
      <c r="G231" s="9"/>
      <c r="H231" s="11" t="s">
        <v>636</v>
      </c>
      <c r="I231" s="9">
        <v>148.0</v>
      </c>
      <c r="J231" s="9" t="s">
        <v>21</v>
      </c>
      <c r="K231" s="9" t="s">
        <v>22</v>
      </c>
      <c r="L231" s="11" t="s">
        <v>23</v>
      </c>
      <c r="M231" s="11" t="s">
        <v>24</v>
      </c>
      <c r="N231" s="9" t="s">
        <v>25</v>
      </c>
      <c r="O231" s="14">
        <f t="shared" si="4"/>
        <v>37600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1.5" customHeight="1">
      <c r="A232" s="15">
        <v>228.0</v>
      </c>
      <c r="B232" s="10" t="s">
        <v>689</v>
      </c>
      <c r="C232" s="11" t="s">
        <v>690</v>
      </c>
      <c r="D232" s="12" t="s">
        <v>691</v>
      </c>
      <c r="E232" s="12">
        <v>2021.0</v>
      </c>
      <c r="F232" s="13" t="s">
        <v>19</v>
      </c>
      <c r="G232" s="9"/>
      <c r="H232" s="11" t="s">
        <v>20</v>
      </c>
      <c r="I232" s="9">
        <v>249.0</v>
      </c>
      <c r="J232" s="9" t="s">
        <v>21</v>
      </c>
      <c r="K232" s="9" t="s">
        <v>22</v>
      </c>
      <c r="L232" s="11" t="s">
        <v>23</v>
      </c>
      <c r="M232" s="11" t="s">
        <v>24</v>
      </c>
      <c r="N232" s="9" t="s">
        <v>25</v>
      </c>
      <c r="O232" s="14">
        <f t="shared" si="4"/>
        <v>0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1.5" customHeight="1">
      <c r="A233" s="15">
        <v>229.0</v>
      </c>
      <c r="B233" s="10" t="s">
        <v>692</v>
      </c>
      <c r="C233" s="11" t="s">
        <v>693</v>
      </c>
      <c r="D233" s="12" t="s">
        <v>694</v>
      </c>
      <c r="E233" s="12">
        <v>2021.0</v>
      </c>
      <c r="F233" s="13" t="s">
        <v>19</v>
      </c>
      <c r="G233" s="9" t="s">
        <v>360</v>
      </c>
      <c r="H233" s="11" t="s">
        <v>20</v>
      </c>
      <c r="I233" s="9">
        <v>389.0</v>
      </c>
      <c r="J233" s="9" t="s">
        <v>21</v>
      </c>
      <c r="K233" s="9" t="s">
        <v>22</v>
      </c>
      <c r="L233" s="11" t="s">
        <v>23</v>
      </c>
      <c r="M233" s="11" t="s">
        <v>24</v>
      </c>
      <c r="N233" s="9" t="s">
        <v>25</v>
      </c>
      <c r="O233" s="14">
        <f t="shared" si="4"/>
        <v>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1.5" customHeight="1">
      <c r="A234" s="15">
        <v>230.0</v>
      </c>
      <c r="B234" s="10" t="s">
        <v>695</v>
      </c>
      <c r="C234" s="11" t="s">
        <v>696</v>
      </c>
      <c r="D234" s="12" t="s">
        <v>697</v>
      </c>
      <c r="E234" s="12">
        <v>2021.0</v>
      </c>
      <c r="F234" s="13" t="s">
        <v>19</v>
      </c>
      <c r="G234" s="9"/>
      <c r="H234" s="11" t="s">
        <v>107</v>
      </c>
      <c r="I234" s="9">
        <v>233.0</v>
      </c>
      <c r="J234" s="9" t="s">
        <v>21</v>
      </c>
      <c r="K234" s="9" t="s">
        <v>22</v>
      </c>
      <c r="L234" s="11" t="s">
        <v>23</v>
      </c>
      <c r="M234" s="11" t="s">
        <v>24</v>
      </c>
      <c r="N234" s="9" t="s">
        <v>25</v>
      </c>
      <c r="O234" s="14">
        <f t="shared" si="4"/>
        <v>39950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1.5" customHeight="1">
      <c r="A235" s="15">
        <v>231.0</v>
      </c>
      <c r="B235" s="10" t="s">
        <v>698</v>
      </c>
      <c r="C235" s="11" t="s">
        <v>699</v>
      </c>
      <c r="D235" s="12" t="s">
        <v>700</v>
      </c>
      <c r="E235" s="12">
        <v>2021.0</v>
      </c>
      <c r="F235" s="13" t="s">
        <v>19</v>
      </c>
      <c r="G235" s="9"/>
      <c r="H235" s="11" t="s">
        <v>107</v>
      </c>
      <c r="I235" s="9">
        <v>180.0</v>
      </c>
      <c r="J235" s="9" t="s">
        <v>21</v>
      </c>
      <c r="K235" s="9" t="s">
        <v>22</v>
      </c>
      <c r="L235" s="11" t="s">
        <v>23</v>
      </c>
      <c r="M235" s="11" t="s">
        <v>24</v>
      </c>
      <c r="N235" s="9" t="s">
        <v>25</v>
      </c>
      <c r="O235" s="14">
        <f t="shared" si="4"/>
        <v>32000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1.5" customHeight="1">
      <c r="A236" s="15">
        <v>232.0</v>
      </c>
      <c r="B236" s="10" t="s">
        <v>701</v>
      </c>
      <c r="C236" s="11" t="s">
        <v>702</v>
      </c>
      <c r="D236" s="12" t="s">
        <v>703</v>
      </c>
      <c r="E236" s="12">
        <v>2021.0</v>
      </c>
      <c r="F236" s="13" t="s">
        <v>19</v>
      </c>
      <c r="G236" s="9"/>
      <c r="H236" s="11" t="s">
        <v>20</v>
      </c>
      <c r="I236" s="15"/>
      <c r="J236" s="9" t="s">
        <v>21</v>
      </c>
      <c r="K236" s="9" t="s">
        <v>22</v>
      </c>
      <c r="L236" s="11" t="s">
        <v>23</v>
      </c>
      <c r="M236" s="11" t="s">
        <v>24</v>
      </c>
      <c r="N236" s="9" t="s">
        <v>25</v>
      </c>
      <c r="O236" s="14">
        <f t="shared" si="4"/>
        <v>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1.5" customHeight="1">
      <c r="A237" s="15">
        <v>233.0</v>
      </c>
      <c r="B237" s="10" t="s">
        <v>704</v>
      </c>
      <c r="C237" s="11" t="s">
        <v>705</v>
      </c>
      <c r="D237" s="12" t="s">
        <v>706</v>
      </c>
      <c r="E237" s="12">
        <v>2021.0</v>
      </c>
      <c r="F237" s="13" t="s">
        <v>19</v>
      </c>
      <c r="G237" s="9"/>
      <c r="H237" s="11" t="s">
        <v>20</v>
      </c>
      <c r="I237" s="15"/>
      <c r="J237" s="9" t="s">
        <v>21</v>
      </c>
      <c r="K237" s="9" t="s">
        <v>22</v>
      </c>
      <c r="L237" s="11" t="s">
        <v>23</v>
      </c>
      <c r="M237" s="11" t="s">
        <v>24</v>
      </c>
      <c r="N237" s="9" t="s">
        <v>25</v>
      </c>
      <c r="O237" s="14">
        <f t="shared" si="4"/>
        <v>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1.5" customHeight="1">
      <c r="A238" s="15">
        <v>234.0</v>
      </c>
      <c r="B238" s="10" t="s">
        <v>707</v>
      </c>
      <c r="C238" s="11" t="s">
        <v>708</v>
      </c>
      <c r="D238" s="12" t="s">
        <v>709</v>
      </c>
      <c r="E238" s="12">
        <v>2021.0</v>
      </c>
      <c r="F238" s="13" t="s">
        <v>19</v>
      </c>
      <c r="G238" s="9"/>
      <c r="H238" s="11" t="s">
        <v>20</v>
      </c>
      <c r="I238" s="15"/>
      <c r="J238" s="9" t="s">
        <v>21</v>
      </c>
      <c r="K238" s="9" t="s">
        <v>22</v>
      </c>
      <c r="L238" s="11" t="s">
        <v>23</v>
      </c>
      <c r="M238" s="11" t="s">
        <v>24</v>
      </c>
      <c r="N238" s="9" t="s">
        <v>25</v>
      </c>
      <c r="O238" s="14">
        <f t="shared" si="4"/>
        <v>0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1.5" customHeight="1">
      <c r="A239" s="15">
        <v>235.0</v>
      </c>
      <c r="B239" s="10" t="s">
        <v>710</v>
      </c>
      <c r="C239" s="11" t="s">
        <v>705</v>
      </c>
      <c r="D239" s="12" t="s">
        <v>711</v>
      </c>
      <c r="E239" s="12">
        <v>2021.0</v>
      </c>
      <c r="F239" s="13" t="s">
        <v>19</v>
      </c>
      <c r="G239" s="9"/>
      <c r="H239" s="11" t="s">
        <v>20</v>
      </c>
      <c r="I239" s="15"/>
      <c r="J239" s="9" t="s">
        <v>21</v>
      </c>
      <c r="K239" s="9" t="s">
        <v>22</v>
      </c>
      <c r="L239" s="11" t="s">
        <v>23</v>
      </c>
      <c r="M239" s="11" t="s">
        <v>24</v>
      </c>
      <c r="N239" s="9" t="s">
        <v>25</v>
      </c>
      <c r="O239" s="14">
        <f t="shared" si="4"/>
        <v>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1.5" customHeight="1">
      <c r="A240" s="15">
        <v>236.0</v>
      </c>
      <c r="B240" s="10" t="s">
        <v>712</v>
      </c>
      <c r="C240" s="11" t="s">
        <v>713</v>
      </c>
      <c r="D240" s="12" t="s">
        <v>714</v>
      </c>
      <c r="E240" s="12">
        <v>2021.0</v>
      </c>
      <c r="F240" s="13" t="s">
        <v>19</v>
      </c>
      <c r="G240" s="9"/>
      <c r="H240" s="11" t="s">
        <v>20</v>
      </c>
      <c r="I240" s="15"/>
      <c r="J240" s="9" t="s">
        <v>21</v>
      </c>
      <c r="K240" s="9" t="s">
        <v>22</v>
      </c>
      <c r="L240" s="11" t="s">
        <v>23</v>
      </c>
      <c r="M240" s="11" t="s">
        <v>24</v>
      </c>
      <c r="N240" s="9" t="s">
        <v>25</v>
      </c>
      <c r="O240" s="14">
        <f t="shared" si="4"/>
        <v>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1.5" customHeight="1">
      <c r="A241" s="15">
        <v>237.0</v>
      </c>
      <c r="B241" s="10" t="s">
        <v>715</v>
      </c>
      <c r="C241" s="11" t="s">
        <v>716</v>
      </c>
      <c r="D241" s="12" t="s">
        <v>717</v>
      </c>
      <c r="E241" s="12">
        <v>2021.0</v>
      </c>
      <c r="F241" s="13" t="s">
        <v>19</v>
      </c>
      <c r="G241" s="9" t="s">
        <v>360</v>
      </c>
      <c r="H241" s="11" t="s">
        <v>107</v>
      </c>
      <c r="I241" s="9">
        <v>134.0</v>
      </c>
      <c r="J241" s="9" t="s">
        <v>21</v>
      </c>
      <c r="K241" s="9" t="s">
        <v>22</v>
      </c>
      <c r="L241" s="11" t="s">
        <v>23</v>
      </c>
      <c r="M241" s="11" t="s">
        <v>24</v>
      </c>
      <c r="N241" s="9" t="s">
        <v>25</v>
      </c>
      <c r="O241" s="14">
        <f t="shared" si="4"/>
        <v>25100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1.5" customHeight="1">
      <c r="A242" s="15">
        <v>238.0</v>
      </c>
      <c r="B242" s="10" t="s">
        <v>718</v>
      </c>
      <c r="C242" s="11" t="s">
        <v>719</v>
      </c>
      <c r="D242" s="12" t="s">
        <v>720</v>
      </c>
      <c r="E242" s="12">
        <v>2021.0</v>
      </c>
      <c r="F242" s="13" t="s">
        <v>19</v>
      </c>
      <c r="G242" s="9"/>
      <c r="H242" s="11" t="s">
        <v>20</v>
      </c>
      <c r="I242" s="15"/>
      <c r="J242" s="9" t="s">
        <v>21</v>
      </c>
      <c r="K242" s="9" t="s">
        <v>22</v>
      </c>
      <c r="L242" s="11" t="s">
        <v>23</v>
      </c>
      <c r="M242" s="11" t="s">
        <v>24</v>
      </c>
      <c r="N242" s="9" t="s">
        <v>25</v>
      </c>
      <c r="O242" s="14">
        <f t="shared" si="4"/>
        <v>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1.5" customHeight="1">
      <c r="A243" s="15">
        <v>239.0</v>
      </c>
      <c r="B243" s="10" t="s">
        <v>721</v>
      </c>
      <c r="C243" s="11" t="s">
        <v>722</v>
      </c>
      <c r="D243" s="12" t="s">
        <v>723</v>
      </c>
      <c r="E243" s="12">
        <v>2021.0</v>
      </c>
      <c r="F243" s="13" t="s">
        <v>19</v>
      </c>
      <c r="G243" s="9"/>
      <c r="H243" s="11" t="s">
        <v>20</v>
      </c>
      <c r="I243" s="15"/>
      <c r="J243" s="9" t="s">
        <v>21</v>
      </c>
      <c r="K243" s="9" t="s">
        <v>22</v>
      </c>
      <c r="L243" s="11" t="s">
        <v>23</v>
      </c>
      <c r="M243" s="11" t="s">
        <v>24</v>
      </c>
      <c r="N243" s="9" t="s">
        <v>25</v>
      </c>
      <c r="O243" s="14">
        <f t="shared" si="4"/>
        <v>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1.5" customHeight="1">
      <c r="A244" s="15">
        <v>240.0</v>
      </c>
      <c r="B244" s="10" t="s">
        <v>724</v>
      </c>
      <c r="C244" s="11" t="s">
        <v>112</v>
      </c>
      <c r="D244" s="12" t="s">
        <v>725</v>
      </c>
      <c r="E244" s="12">
        <v>2021.0</v>
      </c>
      <c r="F244" s="13" t="s">
        <v>19</v>
      </c>
      <c r="G244" s="9"/>
      <c r="H244" s="11" t="s">
        <v>20</v>
      </c>
      <c r="I244" s="15"/>
      <c r="J244" s="9" t="s">
        <v>21</v>
      </c>
      <c r="K244" s="9" t="s">
        <v>22</v>
      </c>
      <c r="L244" s="11" t="s">
        <v>23</v>
      </c>
      <c r="M244" s="11" t="s">
        <v>24</v>
      </c>
      <c r="N244" s="9" t="s">
        <v>25</v>
      </c>
      <c r="O244" s="14">
        <f t="shared" si="4"/>
        <v>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1.5" customHeight="1">
      <c r="A245" s="15">
        <v>241.0</v>
      </c>
      <c r="B245" s="10" t="s">
        <v>726</v>
      </c>
      <c r="C245" s="11" t="s">
        <v>727</v>
      </c>
      <c r="D245" s="12" t="s">
        <v>728</v>
      </c>
      <c r="E245" s="12">
        <v>2021.0</v>
      </c>
      <c r="F245" s="13" t="s">
        <v>19</v>
      </c>
      <c r="G245" s="9"/>
      <c r="H245" s="11" t="s">
        <v>20</v>
      </c>
      <c r="I245" s="15"/>
      <c r="J245" s="9" t="s">
        <v>21</v>
      </c>
      <c r="K245" s="9" t="s">
        <v>22</v>
      </c>
      <c r="L245" s="11" t="s">
        <v>23</v>
      </c>
      <c r="M245" s="11" t="s">
        <v>24</v>
      </c>
      <c r="N245" s="9" t="s">
        <v>25</v>
      </c>
      <c r="O245" s="14">
        <f t="shared" si="4"/>
        <v>0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1.5" customHeight="1">
      <c r="A246" s="15">
        <v>242.0</v>
      </c>
      <c r="B246" s="10" t="s">
        <v>729</v>
      </c>
      <c r="C246" s="11" t="s">
        <v>730</v>
      </c>
      <c r="D246" s="12" t="s">
        <v>731</v>
      </c>
      <c r="E246" s="12">
        <v>2021.0</v>
      </c>
      <c r="F246" s="13" t="s">
        <v>19</v>
      </c>
      <c r="G246" s="9"/>
      <c r="H246" s="11" t="s">
        <v>636</v>
      </c>
      <c r="I246" s="9">
        <v>74.0</v>
      </c>
      <c r="J246" s="9" t="s">
        <v>21</v>
      </c>
      <c r="K246" s="9" t="s">
        <v>22</v>
      </c>
      <c r="L246" s="11" t="s">
        <v>23</v>
      </c>
      <c r="M246" s="11" t="s">
        <v>24</v>
      </c>
      <c r="N246" s="9" t="s">
        <v>25</v>
      </c>
      <c r="O246" s="14">
        <f t="shared" si="4"/>
        <v>22800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1.5" customHeight="1">
      <c r="A247" s="15">
        <v>243.0</v>
      </c>
      <c r="B247" s="10" t="s">
        <v>732</v>
      </c>
      <c r="C247" s="11" t="s">
        <v>733</v>
      </c>
      <c r="D247" s="12" t="s">
        <v>734</v>
      </c>
      <c r="E247" s="12">
        <v>2021.0</v>
      </c>
      <c r="F247" s="13" t="s">
        <v>19</v>
      </c>
      <c r="G247" s="9"/>
      <c r="H247" s="11" t="s">
        <v>20</v>
      </c>
      <c r="I247" s="15"/>
      <c r="J247" s="9" t="s">
        <v>21</v>
      </c>
      <c r="K247" s="9" t="s">
        <v>22</v>
      </c>
      <c r="L247" s="11" t="s">
        <v>23</v>
      </c>
      <c r="M247" s="11" t="s">
        <v>24</v>
      </c>
      <c r="N247" s="9" t="s">
        <v>25</v>
      </c>
      <c r="O247" s="14">
        <f t="shared" si="4"/>
        <v>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1.5" customHeight="1">
      <c r="A248" s="15">
        <v>244.0</v>
      </c>
      <c r="B248" s="10" t="s">
        <v>735</v>
      </c>
      <c r="C248" s="11" t="s">
        <v>736</v>
      </c>
      <c r="D248" s="12" t="s">
        <v>737</v>
      </c>
      <c r="E248" s="12">
        <v>2021.0</v>
      </c>
      <c r="F248" s="13" t="s">
        <v>19</v>
      </c>
      <c r="G248" s="9"/>
      <c r="H248" s="11" t="s">
        <v>107</v>
      </c>
      <c r="I248" s="9">
        <v>248.0</v>
      </c>
      <c r="J248" s="9" t="s">
        <v>21</v>
      </c>
      <c r="K248" s="9" t="s">
        <v>22</v>
      </c>
      <c r="L248" s="11" t="s">
        <v>23</v>
      </c>
      <c r="M248" s="11" t="s">
        <v>24</v>
      </c>
      <c r="N248" s="9" t="s">
        <v>25</v>
      </c>
      <c r="O248" s="14">
        <f t="shared" si="4"/>
        <v>42200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1.5" customHeight="1">
      <c r="A249" s="15">
        <v>245.0</v>
      </c>
      <c r="B249" s="10" t="s">
        <v>738</v>
      </c>
      <c r="C249" s="11" t="s">
        <v>739</v>
      </c>
      <c r="D249" s="12" t="s">
        <v>740</v>
      </c>
      <c r="E249" s="12">
        <v>2021.0</v>
      </c>
      <c r="F249" s="13" t="s">
        <v>19</v>
      </c>
      <c r="G249" s="9"/>
      <c r="H249" s="11" t="s">
        <v>20</v>
      </c>
      <c r="I249" s="15"/>
      <c r="J249" s="9" t="s">
        <v>21</v>
      </c>
      <c r="K249" s="9" t="s">
        <v>22</v>
      </c>
      <c r="L249" s="11" t="s">
        <v>23</v>
      </c>
      <c r="M249" s="11" t="s">
        <v>24</v>
      </c>
      <c r="N249" s="9" t="s">
        <v>25</v>
      </c>
      <c r="O249" s="14">
        <f t="shared" si="4"/>
        <v>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1.5" customHeight="1">
      <c r="A250" s="15">
        <v>246.0</v>
      </c>
      <c r="B250" s="10" t="s">
        <v>741</v>
      </c>
      <c r="C250" s="11" t="s">
        <v>742</v>
      </c>
      <c r="D250" s="12" t="s">
        <v>743</v>
      </c>
      <c r="E250" s="12">
        <v>2021.0</v>
      </c>
      <c r="F250" s="13" t="s">
        <v>19</v>
      </c>
      <c r="G250" s="9"/>
      <c r="H250" s="11" t="s">
        <v>20</v>
      </c>
      <c r="I250" s="15"/>
      <c r="J250" s="9" t="s">
        <v>21</v>
      </c>
      <c r="K250" s="9" t="s">
        <v>22</v>
      </c>
      <c r="L250" s="11" t="s">
        <v>23</v>
      </c>
      <c r="M250" s="11" t="s">
        <v>24</v>
      </c>
      <c r="N250" s="9" t="s">
        <v>25</v>
      </c>
      <c r="O250" s="14">
        <f t="shared" si="4"/>
        <v>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1.5" customHeight="1">
      <c r="A251" s="15">
        <v>247.0</v>
      </c>
      <c r="B251" s="10" t="s">
        <v>744</v>
      </c>
      <c r="C251" s="11" t="s">
        <v>745</v>
      </c>
      <c r="D251" s="12" t="s">
        <v>746</v>
      </c>
      <c r="E251" s="12">
        <v>2021.0</v>
      </c>
      <c r="F251" s="13" t="s">
        <v>19</v>
      </c>
      <c r="G251" s="9"/>
      <c r="H251" s="11" t="s">
        <v>20</v>
      </c>
      <c r="I251" s="15"/>
      <c r="J251" s="9" t="s">
        <v>21</v>
      </c>
      <c r="K251" s="9" t="s">
        <v>22</v>
      </c>
      <c r="L251" s="11" t="s">
        <v>23</v>
      </c>
      <c r="M251" s="11" t="s">
        <v>24</v>
      </c>
      <c r="N251" s="9" t="s">
        <v>25</v>
      </c>
      <c r="O251" s="14">
        <f t="shared" si="4"/>
        <v>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1.5" customHeight="1">
      <c r="A252" s="15">
        <v>248.0</v>
      </c>
      <c r="B252" s="10" t="s">
        <v>747</v>
      </c>
      <c r="C252" s="11" t="s">
        <v>748</v>
      </c>
      <c r="D252" s="12" t="s">
        <v>749</v>
      </c>
      <c r="E252" s="12">
        <v>2021.0</v>
      </c>
      <c r="F252" s="13" t="s">
        <v>19</v>
      </c>
      <c r="G252" s="9"/>
      <c r="H252" s="11" t="s">
        <v>20</v>
      </c>
      <c r="I252" s="15"/>
      <c r="J252" s="9" t="s">
        <v>21</v>
      </c>
      <c r="K252" s="9" t="s">
        <v>22</v>
      </c>
      <c r="L252" s="11" t="s">
        <v>23</v>
      </c>
      <c r="M252" s="11" t="s">
        <v>24</v>
      </c>
      <c r="N252" s="9" t="s">
        <v>25</v>
      </c>
      <c r="O252" s="14">
        <f t="shared" si="4"/>
        <v>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1.5" customHeight="1">
      <c r="A253" s="15">
        <v>249.0</v>
      </c>
      <c r="B253" s="10" t="s">
        <v>750</v>
      </c>
      <c r="C253" s="11" t="s">
        <v>751</v>
      </c>
      <c r="D253" s="12" t="s">
        <v>752</v>
      </c>
      <c r="E253" s="12">
        <v>2021.0</v>
      </c>
      <c r="F253" s="13" t="s">
        <v>19</v>
      </c>
      <c r="G253" s="9"/>
      <c r="H253" s="11" t="s">
        <v>20</v>
      </c>
      <c r="I253" s="15"/>
      <c r="J253" s="9" t="s">
        <v>21</v>
      </c>
      <c r="K253" s="9" t="s">
        <v>22</v>
      </c>
      <c r="L253" s="11" t="s">
        <v>23</v>
      </c>
      <c r="M253" s="11" t="s">
        <v>24</v>
      </c>
      <c r="N253" s="9" t="s">
        <v>25</v>
      </c>
      <c r="O253" s="14">
        <f t="shared" si="4"/>
        <v>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1.5" customHeight="1">
      <c r="A254" s="15">
        <v>250.0</v>
      </c>
      <c r="B254" s="10" t="s">
        <v>753</v>
      </c>
      <c r="C254" s="11" t="s">
        <v>754</v>
      </c>
      <c r="D254" s="12" t="s">
        <v>755</v>
      </c>
      <c r="E254" s="12">
        <v>2021.0</v>
      </c>
      <c r="F254" s="13" t="s">
        <v>19</v>
      </c>
      <c r="G254" s="9"/>
      <c r="H254" s="11" t="s">
        <v>20</v>
      </c>
      <c r="I254" s="15"/>
      <c r="J254" s="9" t="s">
        <v>21</v>
      </c>
      <c r="K254" s="9" t="s">
        <v>22</v>
      </c>
      <c r="L254" s="11" t="s">
        <v>23</v>
      </c>
      <c r="M254" s="11" t="s">
        <v>24</v>
      </c>
      <c r="N254" s="9" t="s">
        <v>25</v>
      </c>
      <c r="O254" s="14">
        <f t="shared" si="4"/>
        <v>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1.5" customHeight="1">
      <c r="A255" s="15">
        <v>251.0</v>
      </c>
      <c r="B255" s="10" t="s">
        <v>756</v>
      </c>
      <c r="C255" s="11" t="s">
        <v>754</v>
      </c>
      <c r="D255" s="12" t="s">
        <v>757</v>
      </c>
      <c r="E255" s="12">
        <v>2021.0</v>
      </c>
      <c r="F255" s="13" t="s">
        <v>19</v>
      </c>
      <c r="G255" s="9"/>
      <c r="H255" s="11" t="s">
        <v>20</v>
      </c>
      <c r="I255" s="15"/>
      <c r="J255" s="9" t="s">
        <v>21</v>
      </c>
      <c r="K255" s="9" t="s">
        <v>22</v>
      </c>
      <c r="L255" s="11" t="s">
        <v>23</v>
      </c>
      <c r="M255" s="11" t="s">
        <v>24</v>
      </c>
      <c r="N255" s="9" t="s">
        <v>25</v>
      </c>
      <c r="O255" s="14">
        <f t="shared" si="4"/>
        <v>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1.5" customHeight="1">
      <c r="A256" s="15">
        <v>252.0</v>
      </c>
      <c r="B256" s="10" t="s">
        <v>758</v>
      </c>
      <c r="C256" s="11" t="s">
        <v>759</v>
      </c>
      <c r="D256" s="12" t="s">
        <v>760</v>
      </c>
      <c r="E256" s="12">
        <v>2021.0</v>
      </c>
      <c r="F256" s="13" t="s">
        <v>19</v>
      </c>
      <c r="G256" s="9"/>
      <c r="H256" s="11" t="s">
        <v>20</v>
      </c>
      <c r="I256" s="15"/>
      <c r="J256" s="9" t="s">
        <v>21</v>
      </c>
      <c r="K256" s="9" t="s">
        <v>22</v>
      </c>
      <c r="L256" s="11" t="s">
        <v>23</v>
      </c>
      <c r="M256" s="11" t="s">
        <v>24</v>
      </c>
      <c r="N256" s="9" t="s">
        <v>25</v>
      </c>
      <c r="O256" s="14">
        <f t="shared" si="4"/>
        <v>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1.5" customHeight="1">
      <c r="A257" s="15">
        <v>253.0</v>
      </c>
      <c r="B257" s="10" t="s">
        <v>761</v>
      </c>
      <c r="C257" s="11" t="s">
        <v>762</v>
      </c>
      <c r="D257" s="12" t="s">
        <v>763</v>
      </c>
      <c r="E257" s="12">
        <v>2021.0</v>
      </c>
      <c r="F257" s="13" t="s">
        <v>19</v>
      </c>
      <c r="G257" s="9"/>
      <c r="H257" s="11" t="s">
        <v>107</v>
      </c>
      <c r="I257" s="9">
        <v>252.0</v>
      </c>
      <c r="J257" s="9" t="s">
        <v>21</v>
      </c>
      <c r="K257" s="9" t="s">
        <v>22</v>
      </c>
      <c r="L257" s="11" t="s">
        <v>23</v>
      </c>
      <c r="M257" s="11" t="s">
        <v>24</v>
      </c>
      <c r="N257" s="9" t="s">
        <v>25</v>
      </c>
      <c r="O257" s="14">
        <f t="shared" si="4"/>
        <v>42800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1.5" customHeight="1">
      <c r="A258" s="15">
        <v>254.0</v>
      </c>
      <c r="B258" s="10" t="s">
        <v>764</v>
      </c>
      <c r="C258" s="11" t="s">
        <v>765</v>
      </c>
      <c r="D258" s="12" t="s">
        <v>766</v>
      </c>
      <c r="E258" s="12">
        <v>2021.0</v>
      </c>
      <c r="F258" s="13" t="s">
        <v>19</v>
      </c>
      <c r="G258" s="9"/>
      <c r="H258" s="11" t="s">
        <v>20</v>
      </c>
      <c r="I258" s="15"/>
      <c r="J258" s="9" t="s">
        <v>21</v>
      </c>
      <c r="K258" s="9" t="s">
        <v>22</v>
      </c>
      <c r="L258" s="11" t="s">
        <v>23</v>
      </c>
      <c r="M258" s="11" t="s">
        <v>24</v>
      </c>
      <c r="N258" s="9" t="s">
        <v>25</v>
      </c>
      <c r="O258" s="14">
        <f t="shared" si="4"/>
        <v>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1.5" customHeight="1">
      <c r="A259" s="15">
        <v>255.0</v>
      </c>
      <c r="B259" s="10" t="s">
        <v>767</v>
      </c>
      <c r="C259" s="11" t="s">
        <v>765</v>
      </c>
      <c r="D259" s="12" t="s">
        <v>768</v>
      </c>
      <c r="E259" s="12">
        <v>2021.0</v>
      </c>
      <c r="F259" s="13" t="s">
        <v>19</v>
      </c>
      <c r="G259" s="9"/>
      <c r="H259" s="11" t="s">
        <v>20</v>
      </c>
      <c r="I259" s="15"/>
      <c r="J259" s="9" t="s">
        <v>21</v>
      </c>
      <c r="K259" s="9" t="s">
        <v>22</v>
      </c>
      <c r="L259" s="11" t="s">
        <v>23</v>
      </c>
      <c r="M259" s="11" t="s">
        <v>24</v>
      </c>
      <c r="N259" s="9" t="s">
        <v>25</v>
      </c>
      <c r="O259" s="14">
        <f t="shared" si="4"/>
        <v>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1.5" customHeight="1">
      <c r="A260" s="15">
        <v>256.0</v>
      </c>
      <c r="B260" s="10" t="s">
        <v>769</v>
      </c>
      <c r="C260" s="11" t="s">
        <v>770</v>
      </c>
      <c r="D260" s="12" t="s">
        <v>771</v>
      </c>
      <c r="E260" s="12">
        <v>2021.0</v>
      </c>
      <c r="F260" s="13" t="s">
        <v>19</v>
      </c>
      <c r="G260" s="9"/>
      <c r="H260" s="11" t="s">
        <v>20</v>
      </c>
      <c r="I260" s="15"/>
      <c r="J260" s="9" t="s">
        <v>21</v>
      </c>
      <c r="K260" s="9" t="s">
        <v>22</v>
      </c>
      <c r="L260" s="11" t="s">
        <v>23</v>
      </c>
      <c r="M260" s="11" t="s">
        <v>24</v>
      </c>
      <c r="N260" s="9" t="s">
        <v>25</v>
      </c>
      <c r="O260" s="14">
        <f t="shared" si="4"/>
        <v>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1.5" customHeight="1">
      <c r="A261" s="15">
        <v>257.0</v>
      </c>
      <c r="B261" s="10" t="s">
        <v>772</v>
      </c>
      <c r="C261" s="11" t="s">
        <v>773</v>
      </c>
      <c r="D261" s="12" t="s">
        <v>774</v>
      </c>
      <c r="E261" s="12">
        <v>2021.0</v>
      </c>
      <c r="F261" s="13" t="s">
        <v>19</v>
      </c>
      <c r="G261" s="9"/>
      <c r="H261" s="11" t="s">
        <v>20</v>
      </c>
      <c r="I261" s="15"/>
      <c r="J261" s="9" t="s">
        <v>21</v>
      </c>
      <c r="K261" s="9" t="s">
        <v>22</v>
      </c>
      <c r="L261" s="11" t="s">
        <v>23</v>
      </c>
      <c r="M261" s="11" t="s">
        <v>24</v>
      </c>
      <c r="N261" s="9" t="s">
        <v>25</v>
      </c>
      <c r="O261" s="14">
        <f t="shared" si="4"/>
        <v>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1.5" customHeight="1">
      <c r="A262" s="15">
        <v>258.0</v>
      </c>
      <c r="B262" s="10" t="s">
        <v>775</v>
      </c>
      <c r="C262" s="11" t="s">
        <v>776</v>
      </c>
      <c r="D262" s="12" t="s">
        <v>777</v>
      </c>
      <c r="E262" s="12">
        <v>2021.0</v>
      </c>
      <c r="F262" s="13" t="s">
        <v>19</v>
      </c>
      <c r="G262" s="9"/>
      <c r="H262" s="11" t="s">
        <v>20</v>
      </c>
      <c r="I262" s="15"/>
      <c r="J262" s="9" t="s">
        <v>21</v>
      </c>
      <c r="K262" s="9" t="s">
        <v>22</v>
      </c>
      <c r="L262" s="11" t="s">
        <v>23</v>
      </c>
      <c r="M262" s="11" t="s">
        <v>24</v>
      </c>
      <c r="N262" s="9" t="s">
        <v>25</v>
      </c>
      <c r="O262" s="14">
        <f t="shared" si="4"/>
        <v>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1.5" customHeight="1">
      <c r="A263" s="15">
        <v>259.0</v>
      </c>
      <c r="B263" s="10" t="s">
        <v>778</v>
      </c>
      <c r="C263" s="11" t="s">
        <v>562</v>
      </c>
      <c r="D263" s="12" t="s">
        <v>779</v>
      </c>
      <c r="E263" s="12">
        <v>2021.0</v>
      </c>
      <c r="F263" s="13" t="s">
        <v>19</v>
      </c>
      <c r="G263" s="9"/>
      <c r="H263" s="11" t="s">
        <v>20</v>
      </c>
      <c r="I263" s="15"/>
      <c r="J263" s="9" t="s">
        <v>21</v>
      </c>
      <c r="K263" s="9" t="s">
        <v>22</v>
      </c>
      <c r="L263" s="11" t="s">
        <v>23</v>
      </c>
      <c r="M263" s="11" t="s">
        <v>24</v>
      </c>
      <c r="N263" s="9" t="s">
        <v>25</v>
      </c>
      <c r="O263" s="14">
        <f t="shared" si="4"/>
        <v>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1.5" customHeight="1">
      <c r="A264" s="15">
        <v>260.0</v>
      </c>
      <c r="B264" s="10" t="s">
        <v>780</v>
      </c>
      <c r="C264" s="11" t="s">
        <v>781</v>
      </c>
      <c r="D264" s="12" t="s">
        <v>782</v>
      </c>
      <c r="E264" s="12">
        <v>2021.0</v>
      </c>
      <c r="F264" s="13" t="s">
        <v>19</v>
      </c>
      <c r="G264" s="9"/>
      <c r="H264" s="11" t="s">
        <v>20</v>
      </c>
      <c r="I264" s="15"/>
      <c r="J264" s="9" t="s">
        <v>21</v>
      </c>
      <c r="K264" s="9" t="s">
        <v>22</v>
      </c>
      <c r="L264" s="11" t="s">
        <v>23</v>
      </c>
      <c r="M264" s="11" t="s">
        <v>24</v>
      </c>
      <c r="N264" s="9" t="s">
        <v>25</v>
      </c>
      <c r="O264" s="14">
        <f t="shared" si="4"/>
        <v>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1.5" customHeight="1">
      <c r="A265" s="15">
        <v>261.0</v>
      </c>
      <c r="B265" s="10" t="s">
        <v>783</v>
      </c>
      <c r="C265" s="11" t="s">
        <v>784</v>
      </c>
      <c r="D265" s="12" t="s">
        <v>785</v>
      </c>
      <c r="E265" s="12">
        <v>2021.0</v>
      </c>
      <c r="F265" s="13" t="s">
        <v>19</v>
      </c>
      <c r="G265" s="9"/>
      <c r="H265" s="11" t="s">
        <v>20</v>
      </c>
      <c r="I265" s="15"/>
      <c r="J265" s="9" t="s">
        <v>21</v>
      </c>
      <c r="K265" s="9" t="s">
        <v>22</v>
      </c>
      <c r="L265" s="11" t="s">
        <v>23</v>
      </c>
      <c r="M265" s="11" t="s">
        <v>24</v>
      </c>
      <c r="N265" s="9" t="s">
        <v>25</v>
      </c>
      <c r="O265" s="14">
        <f t="shared" si="4"/>
        <v>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1.5" customHeight="1">
      <c r="A266" s="15">
        <v>262.0</v>
      </c>
      <c r="B266" s="10" t="s">
        <v>786</v>
      </c>
      <c r="C266" s="11" t="s">
        <v>787</v>
      </c>
      <c r="D266" s="12" t="s">
        <v>788</v>
      </c>
      <c r="E266" s="12">
        <v>2021.0</v>
      </c>
      <c r="F266" s="13" t="s">
        <v>19</v>
      </c>
      <c r="G266" s="9"/>
      <c r="H266" s="11" t="s">
        <v>20</v>
      </c>
      <c r="I266" s="15"/>
      <c r="J266" s="9" t="s">
        <v>21</v>
      </c>
      <c r="K266" s="9" t="s">
        <v>22</v>
      </c>
      <c r="L266" s="11" t="s">
        <v>23</v>
      </c>
      <c r="M266" s="11" t="s">
        <v>24</v>
      </c>
      <c r="N266" s="9" t="s">
        <v>25</v>
      </c>
      <c r="O266" s="14">
        <f t="shared" si="4"/>
        <v>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1.5" customHeight="1">
      <c r="A267" s="15">
        <v>263.0</v>
      </c>
      <c r="B267" s="10" t="s">
        <v>789</v>
      </c>
      <c r="C267" s="11" t="s">
        <v>790</v>
      </c>
      <c r="D267" s="12" t="s">
        <v>791</v>
      </c>
      <c r="E267" s="12">
        <v>2021.0</v>
      </c>
      <c r="F267" s="13" t="s">
        <v>19</v>
      </c>
      <c r="G267" s="9"/>
      <c r="H267" s="11" t="s">
        <v>20</v>
      </c>
      <c r="I267" s="15"/>
      <c r="J267" s="9" t="s">
        <v>21</v>
      </c>
      <c r="K267" s="9" t="s">
        <v>22</v>
      </c>
      <c r="L267" s="11" t="s">
        <v>23</v>
      </c>
      <c r="M267" s="11" t="s">
        <v>24</v>
      </c>
      <c r="N267" s="9" t="s">
        <v>25</v>
      </c>
      <c r="O267" s="14">
        <f t="shared" si="4"/>
        <v>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1.5" customHeight="1">
      <c r="A268" s="15">
        <v>264.0</v>
      </c>
      <c r="B268" s="10" t="s">
        <v>792</v>
      </c>
      <c r="C268" s="11" t="s">
        <v>793</v>
      </c>
      <c r="D268" s="12" t="s">
        <v>794</v>
      </c>
      <c r="E268" s="12">
        <v>2021.0</v>
      </c>
      <c r="F268" s="13" t="s">
        <v>19</v>
      </c>
      <c r="G268" s="9"/>
      <c r="H268" s="11" t="s">
        <v>20</v>
      </c>
      <c r="I268" s="15"/>
      <c r="J268" s="9" t="s">
        <v>21</v>
      </c>
      <c r="K268" s="9" t="s">
        <v>22</v>
      </c>
      <c r="L268" s="11" t="s">
        <v>23</v>
      </c>
      <c r="M268" s="11" t="s">
        <v>24</v>
      </c>
      <c r="N268" s="9" t="s">
        <v>25</v>
      </c>
      <c r="O268" s="14">
        <f t="shared" si="4"/>
        <v>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1.5" customHeight="1">
      <c r="A269" s="15">
        <v>265.0</v>
      </c>
      <c r="B269" s="10" t="s">
        <v>795</v>
      </c>
      <c r="C269" s="11" t="s">
        <v>796</v>
      </c>
      <c r="D269" s="12" t="s">
        <v>797</v>
      </c>
      <c r="E269" s="12">
        <v>2021.0</v>
      </c>
      <c r="F269" s="13" t="s">
        <v>19</v>
      </c>
      <c r="G269" s="9"/>
      <c r="H269" s="11" t="s">
        <v>20</v>
      </c>
      <c r="I269" s="15"/>
      <c r="J269" s="9" t="s">
        <v>21</v>
      </c>
      <c r="K269" s="9" t="s">
        <v>22</v>
      </c>
      <c r="L269" s="11" t="s">
        <v>23</v>
      </c>
      <c r="M269" s="11" t="s">
        <v>24</v>
      </c>
      <c r="N269" s="9" t="s">
        <v>25</v>
      </c>
      <c r="O269" s="14">
        <f t="shared" si="4"/>
        <v>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1.5" customHeight="1">
      <c r="A270" s="15">
        <v>266.0</v>
      </c>
      <c r="B270" s="10" t="s">
        <v>798</v>
      </c>
      <c r="C270" s="11" t="s">
        <v>799</v>
      </c>
      <c r="D270" s="12" t="s">
        <v>800</v>
      </c>
      <c r="E270" s="12">
        <v>2021.0</v>
      </c>
      <c r="F270" s="13" t="s">
        <v>19</v>
      </c>
      <c r="G270" s="9"/>
      <c r="H270" s="11" t="s">
        <v>20</v>
      </c>
      <c r="I270" s="15"/>
      <c r="J270" s="9" t="s">
        <v>21</v>
      </c>
      <c r="K270" s="9" t="s">
        <v>22</v>
      </c>
      <c r="L270" s="11" t="s">
        <v>23</v>
      </c>
      <c r="M270" s="11" t="s">
        <v>24</v>
      </c>
      <c r="N270" s="9" t="s">
        <v>25</v>
      </c>
      <c r="O270" s="14">
        <f t="shared" si="4"/>
        <v>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1.5" customHeight="1">
      <c r="A271" s="15">
        <v>267.0</v>
      </c>
      <c r="B271" s="10" t="s">
        <v>801</v>
      </c>
      <c r="C271" s="11" t="s">
        <v>802</v>
      </c>
      <c r="D271" s="12" t="s">
        <v>803</v>
      </c>
      <c r="E271" s="12">
        <v>2021.0</v>
      </c>
      <c r="F271" s="13" t="s">
        <v>19</v>
      </c>
      <c r="G271" s="9"/>
      <c r="H271" s="11" t="s">
        <v>20</v>
      </c>
      <c r="I271" s="15"/>
      <c r="J271" s="9" t="s">
        <v>21</v>
      </c>
      <c r="K271" s="9" t="s">
        <v>22</v>
      </c>
      <c r="L271" s="11" t="s">
        <v>23</v>
      </c>
      <c r="M271" s="11" t="s">
        <v>24</v>
      </c>
      <c r="N271" s="9" t="s">
        <v>25</v>
      </c>
      <c r="O271" s="14">
        <f t="shared" si="4"/>
        <v>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1.5" customHeight="1">
      <c r="A272" s="15">
        <v>268.0</v>
      </c>
      <c r="B272" s="10" t="s">
        <v>804</v>
      </c>
      <c r="C272" s="11" t="s">
        <v>805</v>
      </c>
      <c r="D272" s="12" t="s">
        <v>806</v>
      </c>
      <c r="E272" s="12">
        <v>2021.0</v>
      </c>
      <c r="F272" s="13" t="s">
        <v>19</v>
      </c>
      <c r="G272" s="9"/>
      <c r="H272" s="11" t="s">
        <v>20</v>
      </c>
      <c r="I272" s="15"/>
      <c r="J272" s="9" t="s">
        <v>21</v>
      </c>
      <c r="K272" s="9" t="s">
        <v>22</v>
      </c>
      <c r="L272" s="11" t="s">
        <v>23</v>
      </c>
      <c r="M272" s="11" t="s">
        <v>24</v>
      </c>
      <c r="N272" s="9" t="s">
        <v>25</v>
      </c>
      <c r="O272" s="14">
        <f t="shared" si="4"/>
        <v>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1.5" customHeight="1">
      <c r="A273" s="15">
        <v>269.0</v>
      </c>
      <c r="B273" s="10" t="s">
        <v>807</v>
      </c>
      <c r="C273" s="11" t="s">
        <v>808</v>
      </c>
      <c r="D273" s="12" t="s">
        <v>809</v>
      </c>
      <c r="E273" s="12">
        <v>2021.0</v>
      </c>
      <c r="F273" s="13" t="s">
        <v>19</v>
      </c>
      <c r="G273" s="9"/>
      <c r="H273" s="11" t="s">
        <v>20</v>
      </c>
      <c r="I273" s="15"/>
      <c r="J273" s="9" t="s">
        <v>21</v>
      </c>
      <c r="K273" s="9" t="s">
        <v>22</v>
      </c>
      <c r="L273" s="11" t="s">
        <v>23</v>
      </c>
      <c r="M273" s="11" t="s">
        <v>24</v>
      </c>
      <c r="N273" s="9" t="s">
        <v>25</v>
      </c>
      <c r="O273" s="14">
        <f t="shared" si="4"/>
        <v>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1.5" customHeight="1">
      <c r="A274" s="15">
        <v>270.0</v>
      </c>
      <c r="B274" s="10" t="s">
        <v>810</v>
      </c>
      <c r="C274" s="11" t="s">
        <v>571</v>
      </c>
      <c r="D274" s="12" t="s">
        <v>811</v>
      </c>
      <c r="E274" s="12">
        <v>2021.0</v>
      </c>
      <c r="F274" s="13" t="s">
        <v>19</v>
      </c>
      <c r="G274" s="9"/>
      <c r="H274" s="11" t="s">
        <v>20</v>
      </c>
      <c r="I274" s="15"/>
      <c r="J274" s="9" t="s">
        <v>21</v>
      </c>
      <c r="K274" s="9" t="s">
        <v>22</v>
      </c>
      <c r="L274" s="11" t="s">
        <v>23</v>
      </c>
      <c r="M274" s="11" t="s">
        <v>24</v>
      </c>
      <c r="N274" s="9" t="s">
        <v>25</v>
      </c>
      <c r="O274" s="14">
        <f t="shared" si="4"/>
        <v>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2.0" customHeight="1">
      <c r="A275" s="15">
        <v>271.0</v>
      </c>
      <c r="B275" s="10" t="s">
        <v>812</v>
      </c>
      <c r="C275" s="11" t="s">
        <v>813</v>
      </c>
      <c r="D275" s="12" t="s">
        <v>814</v>
      </c>
      <c r="E275" s="12">
        <v>2021.0</v>
      </c>
      <c r="F275" s="13" t="s">
        <v>19</v>
      </c>
      <c r="G275" s="9"/>
      <c r="H275" s="11" t="s">
        <v>636</v>
      </c>
      <c r="I275" s="9">
        <v>214.0</v>
      </c>
      <c r="J275" s="9" t="s">
        <v>21</v>
      </c>
      <c r="K275" s="9" t="s">
        <v>22</v>
      </c>
      <c r="L275" s="11" t="s">
        <v>23</v>
      </c>
      <c r="M275" s="11" t="s">
        <v>24</v>
      </c>
      <c r="N275" s="9" t="s">
        <v>25</v>
      </c>
      <c r="O275" s="14">
        <f t="shared" si="4"/>
        <v>50800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1.5" customHeight="1">
      <c r="A276" s="15">
        <v>272.0</v>
      </c>
      <c r="B276" s="10" t="s">
        <v>815</v>
      </c>
      <c r="C276" s="11" t="s">
        <v>816</v>
      </c>
      <c r="D276" s="12" t="s">
        <v>817</v>
      </c>
      <c r="E276" s="12">
        <v>2021.0</v>
      </c>
      <c r="F276" s="13" t="s">
        <v>19</v>
      </c>
      <c r="G276" s="9" t="s">
        <v>360</v>
      </c>
      <c r="H276" s="11" t="s">
        <v>107</v>
      </c>
      <c r="I276" s="9">
        <v>203.0</v>
      </c>
      <c r="J276" s="9" t="s">
        <v>21</v>
      </c>
      <c r="K276" s="9" t="s">
        <v>22</v>
      </c>
      <c r="L276" s="11" t="s">
        <v>23</v>
      </c>
      <c r="M276" s="11" t="s">
        <v>24</v>
      </c>
      <c r="N276" s="9" t="s">
        <v>25</v>
      </c>
      <c r="O276" s="14">
        <f t="shared" si="4"/>
        <v>35450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1.5" customHeight="1">
      <c r="A277" s="15">
        <v>273.0</v>
      </c>
      <c r="B277" s="10" t="s">
        <v>818</v>
      </c>
      <c r="C277" s="11" t="s">
        <v>819</v>
      </c>
      <c r="D277" s="12" t="s">
        <v>820</v>
      </c>
      <c r="E277" s="12">
        <v>2021.0</v>
      </c>
      <c r="F277" s="13" t="s">
        <v>19</v>
      </c>
      <c r="G277" s="9"/>
      <c r="H277" s="11" t="s">
        <v>107</v>
      </c>
      <c r="I277" s="9">
        <v>354.0</v>
      </c>
      <c r="J277" s="9" t="s">
        <v>21</v>
      </c>
      <c r="K277" s="9" t="s">
        <v>22</v>
      </c>
      <c r="L277" s="11" t="s">
        <v>23</v>
      </c>
      <c r="M277" s="11" t="s">
        <v>24</v>
      </c>
      <c r="N277" s="9" t="s">
        <v>25</v>
      </c>
      <c r="O277" s="14">
        <f t="shared" si="4"/>
        <v>58100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1.5" customHeight="1">
      <c r="A278" s="15">
        <v>274.0</v>
      </c>
      <c r="B278" s="10" t="s">
        <v>821</v>
      </c>
      <c r="C278" s="11" t="s">
        <v>822</v>
      </c>
      <c r="D278" s="12" t="s">
        <v>823</v>
      </c>
      <c r="E278" s="12">
        <v>2021.0</v>
      </c>
      <c r="F278" s="13" t="s">
        <v>19</v>
      </c>
      <c r="G278" s="9"/>
      <c r="H278" s="11" t="s">
        <v>107</v>
      </c>
      <c r="I278" s="9">
        <v>308.0</v>
      </c>
      <c r="J278" s="9" t="s">
        <v>21</v>
      </c>
      <c r="K278" s="9" t="s">
        <v>22</v>
      </c>
      <c r="L278" s="11" t="s">
        <v>23</v>
      </c>
      <c r="M278" s="11" t="s">
        <v>24</v>
      </c>
      <c r="N278" s="9" t="s">
        <v>25</v>
      </c>
      <c r="O278" s="14">
        <f t="shared" si="4"/>
        <v>51200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1.5" customHeight="1">
      <c r="A279" s="15">
        <v>275.0</v>
      </c>
      <c r="B279" s="10" t="s">
        <v>824</v>
      </c>
      <c r="C279" s="11" t="s">
        <v>825</v>
      </c>
      <c r="D279" s="12" t="s">
        <v>826</v>
      </c>
      <c r="E279" s="12">
        <v>2021.0</v>
      </c>
      <c r="F279" s="13" t="s">
        <v>19</v>
      </c>
      <c r="G279" s="9"/>
      <c r="H279" s="11" t="s">
        <v>107</v>
      </c>
      <c r="I279" s="9">
        <v>272.0</v>
      </c>
      <c r="J279" s="9" t="s">
        <v>21</v>
      </c>
      <c r="K279" s="9" t="s">
        <v>22</v>
      </c>
      <c r="L279" s="11" t="s">
        <v>23</v>
      </c>
      <c r="M279" s="11" t="s">
        <v>24</v>
      </c>
      <c r="N279" s="9" t="s">
        <v>25</v>
      </c>
      <c r="O279" s="14">
        <f t="shared" si="4"/>
        <v>45800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1.5" customHeight="1">
      <c r="A280" s="15">
        <v>276.0</v>
      </c>
      <c r="B280" s="10" t="s">
        <v>827</v>
      </c>
      <c r="C280" s="11" t="s">
        <v>828</v>
      </c>
      <c r="D280" s="12" t="s">
        <v>829</v>
      </c>
      <c r="E280" s="12">
        <v>2021.0</v>
      </c>
      <c r="F280" s="13" t="s">
        <v>19</v>
      </c>
      <c r="G280" s="9" t="s">
        <v>360</v>
      </c>
      <c r="H280" s="11" t="s">
        <v>107</v>
      </c>
      <c r="I280" s="9">
        <v>118.0</v>
      </c>
      <c r="J280" s="9" t="s">
        <v>21</v>
      </c>
      <c r="K280" s="9" t="s">
        <v>22</v>
      </c>
      <c r="L280" s="11" t="s">
        <v>23</v>
      </c>
      <c r="M280" s="11" t="s">
        <v>24</v>
      </c>
      <c r="N280" s="9" t="s">
        <v>25</v>
      </c>
      <c r="O280" s="14">
        <f t="shared" si="4"/>
        <v>22700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1.5" customHeight="1">
      <c r="A281" s="15">
        <v>277.0</v>
      </c>
      <c r="B281" s="10" t="s">
        <v>830</v>
      </c>
      <c r="C281" s="11" t="s">
        <v>831</v>
      </c>
      <c r="D281" s="12" t="s">
        <v>832</v>
      </c>
      <c r="E281" s="12">
        <v>2021.0</v>
      </c>
      <c r="F281" s="13" t="s">
        <v>19</v>
      </c>
      <c r="G281" s="9"/>
      <c r="H281" s="11" t="s">
        <v>107</v>
      </c>
      <c r="I281" s="9">
        <v>255.0</v>
      </c>
      <c r="J281" s="9" t="s">
        <v>21</v>
      </c>
      <c r="K281" s="9" t="s">
        <v>22</v>
      </c>
      <c r="L281" s="11" t="s">
        <v>23</v>
      </c>
      <c r="M281" s="11" t="s">
        <v>24</v>
      </c>
      <c r="N281" s="9" t="s">
        <v>25</v>
      </c>
      <c r="O281" s="14">
        <f t="shared" si="4"/>
        <v>43250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1.5" customHeight="1">
      <c r="A282" s="15">
        <v>278.0</v>
      </c>
      <c r="B282" s="10" t="s">
        <v>833</v>
      </c>
      <c r="C282" s="11" t="s">
        <v>834</v>
      </c>
      <c r="D282" s="12" t="s">
        <v>835</v>
      </c>
      <c r="E282" s="12">
        <v>2021.0</v>
      </c>
      <c r="F282" s="13" t="s">
        <v>19</v>
      </c>
      <c r="G282" s="9"/>
      <c r="H282" s="11" t="s">
        <v>20</v>
      </c>
      <c r="I282" s="15"/>
      <c r="J282" s="9" t="s">
        <v>21</v>
      </c>
      <c r="K282" s="9" t="s">
        <v>22</v>
      </c>
      <c r="L282" s="11" t="s">
        <v>23</v>
      </c>
      <c r="M282" s="11" t="s">
        <v>24</v>
      </c>
      <c r="N282" s="9" t="s">
        <v>25</v>
      </c>
      <c r="O282" s="14">
        <f t="shared" si="4"/>
        <v>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1.5" customHeight="1">
      <c r="A283" s="15">
        <v>279.0</v>
      </c>
      <c r="B283" s="10" t="s">
        <v>836</v>
      </c>
      <c r="C283" s="11" t="s">
        <v>837</v>
      </c>
      <c r="D283" s="12" t="s">
        <v>838</v>
      </c>
      <c r="E283" s="12">
        <v>2021.0</v>
      </c>
      <c r="F283" s="13" t="s">
        <v>19</v>
      </c>
      <c r="G283" s="9"/>
      <c r="H283" s="11" t="s">
        <v>839</v>
      </c>
      <c r="I283" s="9">
        <v>174.0</v>
      </c>
      <c r="J283" s="9" t="s">
        <v>21</v>
      </c>
      <c r="K283" s="9" t="s">
        <v>22</v>
      </c>
      <c r="L283" s="11" t="s">
        <v>23</v>
      </c>
      <c r="M283" s="11" t="s">
        <v>24</v>
      </c>
      <c r="N283" s="9" t="s">
        <v>25</v>
      </c>
      <c r="O283" s="14">
        <f t="shared" si="4"/>
        <v>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1.5" customHeight="1">
      <c r="A284" s="15">
        <v>280.0</v>
      </c>
      <c r="B284" s="10" t="s">
        <v>840</v>
      </c>
      <c r="C284" s="11" t="s">
        <v>841</v>
      </c>
      <c r="D284" s="12" t="s">
        <v>842</v>
      </c>
      <c r="E284" s="12">
        <v>2021.0</v>
      </c>
      <c r="F284" s="13" t="s">
        <v>19</v>
      </c>
      <c r="G284" s="9"/>
      <c r="H284" s="11" t="s">
        <v>107</v>
      </c>
      <c r="I284" s="9">
        <v>254.0</v>
      </c>
      <c r="J284" s="9" t="s">
        <v>21</v>
      </c>
      <c r="K284" s="9" t="s">
        <v>22</v>
      </c>
      <c r="L284" s="11" t="s">
        <v>23</v>
      </c>
      <c r="M284" s="11" t="s">
        <v>24</v>
      </c>
      <c r="N284" s="9" t="s">
        <v>25</v>
      </c>
      <c r="O284" s="14">
        <f t="shared" si="4"/>
        <v>43100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1.5" customHeight="1">
      <c r="A285" s="15">
        <v>281.0</v>
      </c>
      <c r="B285" s="10" t="s">
        <v>843</v>
      </c>
      <c r="C285" s="11" t="s">
        <v>844</v>
      </c>
      <c r="D285" s="12" t="s">
        <v>845</v>
      </c>
      <c r="E285" s="12">
        <v>2021.0</v>
      </c>
      <c r="F285" s="13" t="s">
        <v>19</v>
      </c>
      <c r="G285" s="9"/>
      <c r="H285" s="11" t="s">
        <v>20</v>
      </c>
      <c r="I285" s="15"/>
      <c r="J285" s="9" t="s">
        <v>21</v>
      </c>
      <c r="K285" s="9" t="s">
        <v>22</v>
      </c>
      <c r="L285" s="11" t="s">
        <v>23</v>
      </c>
      <c r="M285" s="11" t="s">
        <v>24</v>
      </c>
      <c r="N285" s="9" t="s">
        <v>25</v>
      </c>
      <c r="O285" s="14">
        <f t="shared" si="4"/>
        <v>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1.5" customHeight="1">
      <c r="A286" s="15">
        <v>282.0</v>
      </c>
      <c r="B286" s="10" t="s">
        <v>846</v>
      </c>
      <c r="C286" s="11" t="s">
        <v>847</v>
      </c>
      <c r="D286" s="12" t="s">
        <v>848</v>
      </c>
      <c r="E286" s="12">
        <v>2021.0</v>
      </c>
      <c r="F286" s="13" t="s">
        <v>19</v>
      </c>
      <c r="G286" s="9"/>
      <c r="H286" s="11" t="s">
        <v>20</v>
      </c>
      <c r="I286" s="15"/>
      <c r="J286" s="9" t="s">
        <v>21</v>
      </c>
      <c r="K286" s="9" t="s">
        <v>22</v>
      </c>
      <c r="L286" s="11" t="s">
        <v>23</v>
      </c>
      <c r="M286" s="11" t="s">
        <v>24</v>
      </c>
      <c r="N286" s="9" t="s">
        <v>25</v>
      </c>
      <c r="O286" s="14">
        <f t="shared" si="4"/>
        <v>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1.5" customHeight="1">
      <c r="A287" s="15">
        <v>283.0</v>
      </c>
      <c r="B287" s="10" t="s">
        <v>849</v>
      </c>
      <c r="C287" s="11" t="s">
        <v>770</v>
      </c>
      <c r="D287" s="12" t="s">
        <v>850</v>
      </c>
      <c r="E287" s="12">
        <v>2021.0</v>
      </c>
      <c r="F287" s="13" t="s">
        <v>19</v>
      </c>
      <c r="G287" s="9"/>
      <c r="H287" s="11" t="s">
        <v>20</v>
      </c>
      <c r="I287" s="15"/>
      <c r="J287" s="9" t="s">
        <v>21</v>
      </c>
      <c r="K287" s="9" t="s">
        <v>22</v>
      </c>
      <c r="L287" s="11" t="s">
        <v>23</v>
      </c>
      <c r="M287" s="11" t="s">
        <v>24</v>
      </c>
      <c r="N287" s="9" t="s">
        <v>25</v>
      </c>
      <c r="O287" s="14">
        <f t="shared" si="4"/>
        <v>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1.5" customHeight="1">
      <c r="A288" s="15">
        <v>284.0</v>
      </c>
      <c r="B288" s="10" t="s">
        <v>851</v>
      </c>
      <c r="C288" s="11" t="s">
        <v>852</v>
      </c>
      <c r="D288" s="12" t="s">
        <v>853</v>
      </c>
      <c r="E288" s="12">
        <v>2021.0</v>
      </c>
      <c r="F288" s="13" t="s">
        <v>19</v>
      </c>
      <c r="G288" s="9"/>
      <c r="H288" s="11" t="s">
        <v>20</v>
      </c>
      <c r="I288" s="15"/>
      <c r="J288" s="9" t="s">
        <v>21</v>
      </c>
      <c r="K288" s="9" t="s">
        <v>22</v>
      </c>
      <c r="L288" s="11" t="s">
        <v>23</v>
      </c>
      <c r="M288" s="11" t="s">
        <v>24</v>
      </c>
      <c r="N288" s="9" t="s">
        <v>25</v>
      </c>
      <c r="O288" s="14">
        <f t="shared" si="4"/>
        <v>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1.5" customHeight="1">
      <c r="A289" s="15">
        <v>285.0</v>
      </c>
      <c r="B289" s="10" t="s">
        <v>854</v>
      </c>
      <c r="C289" s="11" t="s">
        <v>855</v>
      </c>
      <c r="D289" s="12" t="s">
        <v>856</v>
      </c>
      <c r="E289" s="12">
        <v>2021.0</v>
      </c>
      <c r="F289" s="13" t="s">
        <v>19</v>
      </c>
      <c r="G289" s="9"/>
      <c r="H289" s="11" t="s">
        <v>20</v>
      </c>
      <c r="I289" s="15"/>
      <c r="J289" s="9" t="s">
        <v>21</v>
      </c>
      <c r="K289" s="9" t="s">
        <v>22</v>
      </c>
      <c r="L289" s="11" t="s">
        <v>23</v>
      </c>
      <c r="M289" s="11" t="s">
        <v>24</v>
      </c>
      <c r="N289" s="9" t="s">
        <v>25</v>
      </c>
      <c r="O289" s="14">
        <f t="shared" si="4"/>
        <v>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1.5" customHeight="1">
      <c r="A290" s="15">
        <v>286.0</v>
      </c>
      <c r="B290" s="10" t="s">
        <v>857</v>
      </c>
      <c r="C290" s="11" t="s">
        <v>858</v>
      </c>
      <c r="D290" s="12" t="s">
        <v>859</v>
      </c>
      <c r="E290" s="12">
        <v>2021.0</v>
      </c>
      <c r="F290" s="13" t="s">
        <v>19</v>
      </c>
      <c r="G290" s="9"/>
      <c r="H290" s="11" t="s">
        <v>20</v>
      </c>
      <c r="I290" s="15"/>
      <c r="J290" s="9" t="s">
        <v>21</v>
      </c>
      <c r="K290" s="9" t="s">
        <v>22</v>
      </c>
      <c r="L290" s="11" t="s">
        <v>23</v>
      </c>
      <c r="M290" s="11" t="s">
        <v>24</v>
      </c>
      <c r="N290" s="9" t="s">
        <v>25</v>
      </c>
      <c r="O290" s="14">
        <f t="shared" si="4"/>
        <v>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1.5" customHeight="1">
      <c r="A291" s="15">
        <v>287.0</v>
      </c>
      <c r="B291" s="10" t="s">
        <v>860</v>
      </c>
      <c r="C291" s="11" t="s">
        <v>112</v>
      </c>
      <c r="D291" s="12" t="s">
        <v>861</v>
      </c>
      <c r="E291" s="12">
        <v>2021.0</v>
      </c>
      <c r="F291" s="13" t="s">
        <v>19</v>
      </c>
      <c r="G291" s="9"/>
      <c r="H291" s="11" t="s">
        <v>862</v>
      </c>
      <c r="I291" s="9">
        <v>146.0</v>
      </c>
      <c r="J291" s="9" t="s">
        <v>21</v>
      </c>
      <c r="K291" s="9" t="s">
        <v>22</v>
      </c>
      <c r="L291" s="11" t="s">
        <v>23</v>
      </c>
      <c r="M291" s="11" t="s">
        <v>24</v>
      </c>
      <c r="N291" s="9" t="s">
        <v>25</v>
      </c>
      <c r="O291" s="14">
        <f t="shared" si="4"/>
        <v>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1.5" customHeight="1">
      <c r="A292" s="15">
        <v>288.0</v>
      </c>
      <c r="B292" s="10" t="s">
        <v>863</v>
      </c>
      <c r="C292" s="11" t="s">
        <v>864</v>
      </c>
      <c r="D292" s="12" t="s">
        <v>865</v>
      </c>
      <c r="E292" s="12">
        <v>2021.0</v>
      </c>
      <c r="F292" s="13" t="s">
        <v>19</v>
      </c>
      <c r="G292" s="9"/>
      <c r="H292" s="11" t="s">
        <v>20</v>
      </c>
      <c r="I292" s="15"/>
      <c r="J292" s="9" t="s">
        <v>21</v>
      </c>
      <c r="K292" s="9" t="s">
        <v>22</v>
      </c>
      <c r="L292" s="11" t="s">
        <v>23</v>
      </c>
      <c r="M292" s="11" t="s">
        <v>24</v>
      </c>
      <c r="N292" s="9" t="s">
        <v>25</v>
      </c>
      <c r="O292" s="14">
        <f t="shared" si="4"/>
        <v>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1.5" customHeight="1">
      <c r="A293" s="15">
        <v>289.0</v>
      </c>
      <c r="B293" s="10" t="s">
        <v>866</v>
      </c>
      <c r="C293" s="11" t="s">
        <v>867</v>
      </c>
      <c r="D293" s="12" t="s">
        <v>868</v>
      </c>
      <c r="E293" s="12">
        <v>2021.0</v>
      </c>
      <c r="F293" s="13" t="s">
        <v>19</v>
      </c>
      <c r="G293" s="9"/>
      <c r="H293" s="11" t="s">
        <v>20</v>
      </c>
      <c r="I293" s="15"/>
      <c r="J293" s="9" t="s">
        <v>21</v>
      </c>
      <c r="K293" s="9" t="s">
        <v>22</v>
      </c>
      <c r="L293" s="11" t="s">
        <v>23</v>
      </c>
      <c r="M293" s="11" t="s">
        <v>24</v>
      </c>
      <c r="N293" s="9" t="s">
        <v>25</v>
      </c>
      <c r="O293" s="14">
        <f t="shared" si="4"/>
        <v>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1.5" customHeight="1">
      <c r="A294" s="15">
        <v>290.0</v>
      </c>
      <c r="B294" s="10" t="s">
        <v>869</v>
      </c>
      <c r="C294" s="11" t="s">
        <v>870</v>
      </c>
      <c r="D294" s="12" t="s">
        <v>871</v>
      </c>
      <c r="E294" s="12">
        <v>2021.0</v>
      </c>
      <c r="F294" s="13" t="s">
        <v>19</v>
      </c>
      <c r="G294" s="9"/>
      <c r="H294" s="11" t="s">
        <v>20</v>
      </c>
      <c r="I294" s="15"/>
      <c r="J294" s="9" t="s">
        <v>21</v>
      </c>
      <c r="K294" s="9" t="s">
        <v>22</v>
      </c>
      <c r="L294" s="11" t="s">
        <v>23</v>
      </c>
      <c r="M294" s="11" t="s">
        <v>24</v>
      </c>
      <c r="N294" s="9" t="s">
        <v>25</v>
      </c>
      <c r="O294" s="14">
        <f t="shared" si="4"/>
        <v>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1.5" customHeight="1">
      <c r="A295" s="15">
        <v>291.0</v>
      </c>
      <c r="B295" s="10" t="s">
        <v>872</v>
      </c>
      <c r="C295" s="11" t="s">
        <v>790</v>
      </c>
      <c r="D295" s="12" t="s">
        <v>873</v>
      </c>
      <c r="E295" s="12">
        <v>2021.0</v>
      </c>
      <c r="F295" s="13" t="s">
        <v>19</v>
      </c>
      <c r="G295" s="9"/>
      <c r="H295" s="11" t="s">
        <v>20</v>
      </c>
      <c r="I295" s="15"/>
      <c r="J295" s="9" t="s">
        <v>21</v>
      </c>
      <c r="K295" s="9" t="s">
        <v>22</v>
      </c>
      <c r="L295" s="11" t="s">
        <v>23</v>
      </c>
      <c r="M295" s="11" t="s">
        <v>24</v>
      </c>
      <c r="N295" s="9" t="s">
        <v>25</v>
      </c>
      <c r="O295" s="14">
        <f t="shared" si="4"/>
        <v>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1.5" customHeight="1">
      <c r="A296" s="15">
        <v>292.0</v>
      </c>
      <c r="B296" s="10" t="s">
        <v>874</v>
      </c>
      <c r="C296" s="11" t="s">
        <v>875</v>
      </c>
      <c r="D296" s="12" t="s">
        <v>876</v>
      </c>
      <c r="E296" s="12">
        <v>2021.0</v>
      </c>
      <c r="F296" s="13" t="s">
        <v>19</v>
      </c>
      <c r="G296" s="9"/>
      <c r="H296" s="11" t="s">
        <v>20</v>
      </c>
      <c r="I296" s="15"/>
      <c r="J296" s="9" t="s">
        <v>21</v>
      </c>
      <c r="K296" s="9" t="s">
        <v>22</v>
      </c>
      <c r="L296" s="11" t="s">
        <v>23</v>
      </c>
      <c r="M296" s="11" t="s">
        <v>24</v>
      </c>
      <c r="N296" s="9" t="s">
        <v>25</v>
      </c>
      <c r="O296" s="14">
        <f t="shared" si="4"/>
        <v>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1.5" customHeight="1">
      <c r="A297" s="15">
        <v>293.0</v>
      </c>
      <c r="B297" s="10" t="s">
        <v>877</v>
      </c>
      <c r="C297" s="11" t="s">
        <v>878</v>
      </c>
      <c r="D297" s="12" t="s">
        <v>879</v>
      </c>
      <c r="E297" s="12">
        <v>2021.0</v>
      </c>
      <c r="F297" s="13" t="s">
        <v>19</v>
      </c>
      <c r="G297" s="9"/>
      <c r="H297" s="11" t="s">
        <v>20</v>
      </c>
      <c r="I297" s="15"/>
      <c r="J297" s="9" t="s">
        <v>21</v>
      </c>
      <c r="K297" s="9" t="s">
        <v>22</v>
      </c>
      <c r="L297" s="11" t="s">
        <v>23</v>
      </c>
      <c r="M297" s="11" t="s">
        <v>24</v>
      </c>
      <c r="N297" s="9" t="s">
        <v>25</v>
      </c>
      <c r="O297" s="14">
        <f t="shared" si="4"/>
        <v>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1.5" customHeight="1">
      <c r="A298" s="15">
        <v>294.0</v>
      </c>
      <c r="B298" s="10" t="s">
        <v>880</v>
      </c>
      <c r="C298" s="11" t="s">
        <v>881</v>
      </c>
      <c r="D298" s="12" t="s">
        <v>882</v>
      </c>
      <c r="E298" s="12">
        <v>2021.0</v>
      </c>
      <c r="F298" s="13" t="s">
        <v>19</v>
      </c>
      <c r="G298" s="9"/>
      <c r="H298" s="11" t="s">
        <v>20</v>
      </c>
      <c r="I298" s="15"/>
      <c r="J298" s="9" t="s">
        <v>21</v>
      </c>
      <c r="K298" s="9" t="s">
        <v>22</v>
      </c>
      <c r="L298" s="11" t="s">
        <v>23</v>
      </c>
      <c r="M298" s="11" t="s">
        <v>24</v>
      </c>
      <c r="N298" s="9" t="s">
        <v>25</v>
      </c>
      <c r="O298" s="14">
        <f t="shared" si="4"/>
        <v>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1.5" customHeight="1">
      <c r="A299" s="15">
        <v>295.0</v>
      </c>
      <c r="B299" s="10" t="s">
        <v>883</v>
      </c>
      <c r="C299" s="11" t="s">
        <v>884</v>
      </c>
      <c r="D299" s="12" t="s">
        <v>885</v>
      </c>
      <c r="E299" s="12">
        <v>2021.0</v>
      </c>
      <c r="F299" s="13" t="s">
        <v>19</v>
      </c>
      <c r="G299" s="9"/>
      <c r="H299" s="11" t="s">
        <v>20</v>
      </c>
      <c r="I299" s="15"/>
      <c r="J299" s="9" t="s">
        <v>21</v>
      </c>
      <c r="K299" s="9" t="s">
        <v>22</v>
      </c>
      <c r="L299" s="11" t="s">
        <v>23</v>
      </c>
      <c r="M299" s="11" t="s">
        <v>24</v>
      </c>
      <c r="N299" s="9" t="s">
        <v>25</v>
      </c>
      <c r="O299" s="14">
        <f t="shared" si="4"/>
        <v>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1.5" customHeight="1">
      <c r="A300" s="15">
        <v>296.0</v>
      </c>
      <c r="B300" s="10" t="s">
        <v>886</v>
      </c>
      <c r="C300" s="11" t="s">
        <v>887</v>
      </c>
      <c r="D300" s="12" t="s">
        <v>888</v>
      </c>
      <c r="E300" s="12">
        <v>2020.0</v>
      </c>
      <c r="F300" s="13" t="s">
        <v>19</v>
      </c>
      <c r="G300" s="9"/>
      <c r="H300" s="11" t="s">
        <v>20</v>
      </c>
      <c r="I300" s="15"/>
      <c r="J300" s="9" t="s">
        <v>21</v>
      </c>
      <c r="K300" s="9" t="s">
        <v>22</v>
      </c>
      <c r="L300" s="11" t="s">
        <v>23</v>
      </c>
      <c r="M300" s="11" t="s">
        <v>24</v>
      </c>
      <c r="N300" s="9" t="s">
        <v>25</v>
      </c>
      <c r="O300" s="14">
        <f t="shared" si="4"/>
        <v>0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1.5" customHeight="1">
      <c r="A301" s="15">
        <v>297.0</v>
      </c>
      <c r="B301" s="10" t="s">
        <v>889</v>
      </c>
      <c r="C301" s="11" t="s">
        <v>890</v>
      </c>
      <c r="D301" s="12" t="s">
        <v>891</v>
      </c>
      <c r="E301" s="12">
        <v>2020.0</v>
      </c>
      <c r="F301" s="13" t="s">
        <v>19</v>
      </c>
      <c r="G301" s="9"/>
      <c r="H301" s="11" t="s">
        <v>20</v>
      </c>
      <c r="I301" s="15"/>
      <c r="J301" s="9" t="s">
        <v>21</v>
      </c>
      <c r="K301" s="9" t="s">
        <v>22</v>
      </c>
      <c r="L301" s="11" t="s">
        <v>23</v>
      </c>
      <c r="M301" s="11" t="s">
        <v>24</v>
      </c>
      <c r="N301" s="9" t="s">
        <v>25</v>
      </c>
      <c r="O301" s="14">
        <f t="shared" si="4"/>
        <v>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1.5" customHeight="1">
      <c r="A302" s="15">
        <v>298.0</v>
      </c>
      <c r="B302" s="10" t="s">
        <v>892</v>
      </c>
      <c r="C302" s="11" t="s">
        <v>893</v>
      </c>
      <c r="D302" s="12" t="s">
        <v>894</v>
      </c>
      <c r="E302" s="12">
        <v>2020.0</v>
      </c>
      <c r="F302" s="13" t="s">
        <v>19</v>
      </c>
      <c r="G302" s="9"/>
      <c r="H302" s="11" t="s">
        <v>20</v>
      </c>
      <c r="I302" s="15"/>
      <c r="J302" s="9" t="s">
        <v>21</v>
      </c>
      <c r="K302" s="9" t="s">
        <v>22</v>
      </c>
      <c r="L302" s="11" t="s">
        <v>23</v>
      </c>
      <c r="M302" s="11" t="s">
        <v>24</v>
      </c>
      <c r="N302" s="9" t="s">
        <v>25</v>
      </c>
      <c r="O302" s="14">
        <f t="shared" si="4"/>
        <v>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1.5" customHeight="1">
      <c r="A303" s="15">
        <v>299.0</v>
      </c>
      <c r="B303" s="10" t="s">
        <v>895</v>
      </c>
      <c r="C303" s="11" t="s">
        <v>896</v>
      </c>
      <c r="D303" s="12" t="s">
        <v>897</v>
      </c>
      <c r="E303" s="12">
        <v>2020.0</v>
      </c>
      <c r="F303" s="13" t="s">
        <v>19</v>
      </c>
      <c r="G303" s="9"/>
      <c r="H303" s="11" t="s">
        <v>20</v>
      </c>
      <c r="I303" s="15"/>
      <c r="J303" s="9" t="s">
        <v>21</v>
      </c>
      <c r="K303" s="9" t="s">
        <v>22</v>
      </c>
      <c r="L303" s="11" t="s">
        <v>23</v>
      </c>
      <c r="M303" s="11" t="s">
        <v>24</v>
      </c>
      <c r="N303" s="9" t="s">
        <v>25</v>
      </c>
      <c r="O303" s="14">
        <f t="shared" si="4"/>
        <v>0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1.5" customHeight="1">
      <c r="A304" s="15">
        <v>300.0</v>
      </c>
      <c r="B304" s="10" t="s">
        <v>898</v>
      </c>
      <c r="C304" s="11" t="s">
        <v>899</v>
      </c>
      <c r="D304" s="12" t="s">
        <v>900</v>
      </c>
      <c r="E304" s="12">
        <v>2020.0</v>
      </c>
      <c r="F304" s="13" t="s">
        <v>19</v>
      </c>
      <c r="G304" s="9"/>
      <c r="H304" s="11" t="s">
        <v>20</v>
      </c>
      <c r="I304" s="15"/>
      <c r="J304" s="9" t="s">
        <v>21</v>
      </c>
      <c r="K304" s="9" t="s">
        <v>22</v>
      </c>
      <c r="L304" s="11" t="s">
        <v>23</v>
      </c>
      <c r="M304" s="11" t="s">
        <v>24</v>
      </c>
      <c r="N304" s="9" t="s">
        <v>25</v>
      </c>
      <c r="O304" s="14">
        <f t="shared" si="4"/>
        <v>0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1.5" customHeight="1">
      <c r="A305" s="15">
        <v>301.0</v>
      </c>
      <c r="B305" s="10" t="s">
        <v>901</v>
      </c>
      <c r="C305" s="11" t="s">
        <v>902</v>
      </c>
      <c r="D305" s="12" t="s">
        <v>903</v>
      </c>
      <c r="E305" s="12">
        <v>2020.0</v>
      </c>
      <c r="F305" s="13" t="s">
        <v>19</v>
      </c>
      <c r="G305" s="9"/>
      <c r="H305" s="11" t="s">
        <v>20</v>
      </c>
      <c r="I305" s="15"/>
      <c r="J305" s="9" t="s">
        <v>21</v>
      </c>
      <c r="K305" s="9" t="s">
        <v>22</v>
      </c>
      <c r="L305" s="11" t="s">
        <v>23</v>
      </c>
      <c r="M305" s="11" t="s">
        <v>24</v>
      </c>
      <c r="N305" s="9" t="s">
        <v>25</v>
      </c>
      <c r="O305" s="14">
        <f t="shared" si="4"/>
        <v>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1.5" customHeight="1">
      <c r="A306" s="15">
        <v>302.0</v>
      </c>
      <c r="B306" s="10" t="s">
        <v>904</v>
      </c>
      <c r="C306" s="11" t="s">
        <v>905</v>
      </c>
      <c r="D306" s="12" t="s">
        <v>906</v>
      </c>
      <c r="E306" s="12">
        <v>2020.0</v>
      </c>
      <c r="F306" s="13" t="s">
        <v>19</v>
      </c>
      <c r="G306" s="9"/>
      <c r="H306" s="11" t="s">
        <v>20</v>
      </c>
      <c r="I306" s="15"/>
      <c r="J306" s="9" t="s">
        <v>21</v>
      </c>
      <c r="K306" s="9" t="s">
        <v>22</v>
      </c>
      <c r="L306" s="11" t="s">
        <v>23</v>
      </c>
      <c r="M306" s="11" t="s">
        <v>24</v>
      </c>
      <c r="N306" s="9" t="s">
        <v>25</v>
      </c>
      <c r="O306" s="14">
        <f t="shared" si="4"/>
        <v>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1.5" customHeight="1">
      <c r="A307" s="15">
        <v>303.0</v>
      </c>
      <c r="B307" s="10" t="s">
        <v>907</v>
      </c>
      <c r="C307" s="11" t="s">
        <v>908</v>
      </c>
      <c r="D307" s="12" t="s">
        <v>909</v>
      </c>
      <c r="E307" s="12">
        <v>2020.0</v>
      </c>
      <c r="F307" s="13" t="s">
        <v>19</v>
      </c>
      <c r="G307" s="9"/>
      <c r="H307" s="11" t="s">
        <v>20</v>
      </c>
      <c r="I307" s="15"/>
      <c r="J307" s="9" t="s">
        <v>21</v>
      </c>
      <c r="K307" s="9" t="s">
        <v>22</v>
      </c>
      <c r="L307" s="11" t="s">
        <v>23</v>
      </c>
      <c r="M307" s="11" t="s">
        <v>24</v>
      </c>
      <c r="N307" s="9" t="s">
        <v>25</v>
      </c>
      <c r="O307" s="14">
        <f t="shared" si="4"/>
        <v>0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1.5" customHeight="1">
      <c r="A308" s="15">
        <v>304.0</v>
      </c>
      <c r="B308" s="10" t="s">
        <v>910</v>
      </c>
      <c r="C308" s="11" t="s">
        <v>911</v>
      </c>
      <c r="D308" s="12" t="s">
        <v>912</v>
      </c>
      <c r="E308" s="12">
        <v>2020.0</v>
      </c>
      <c r="F308" s="13" t="s">
        <v>19</v>
      </c>
      <c r="G308" s="9"/>
      <c r="H308" s="11" t="s">
        <v>20</v>
      </c>
      <c r="I308" s="15"/>
      <c r="J308" s="9" t="s">
        <v>21</v>
      </c>
      <c r="K308" s="9" t="s">
        <v>22</v>
      </c>
      <c r="L308" s="11" t="s">
        <v>23</v>
      </c>
      <c r="M308" s="11" t="s">
        <v>24</v>
      </c>
      <c r="N308" s="9" t="s">
        <v>25</v>
      </c>
      <c r="O308" s="14">
        <f t="shared" si="4"/>
        <v>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1.5" customHeight="1">
      <c r="A309" s="15">
        <v>305.0</v>
      </c>
      <c r="B309" s="10" t="s">
        <v>913</v>
      </c>
      <c r="C309" s="11" t="s">
        <v>914</v>
      </c>
      <c r="D309" s="12" t="s">
        <v>915</v>
      </c>
      <c r="E309" s="12">
        <v>2020.0</v>
      </c>
      <c r="F309" s="13" t="s">
        <v>19</v>
      </c>
      <c r="G309" s="9"/>
      <c r="H309" s="11" t="s">
        <v>20</v>
      </c>
      <c r="I309" s="15"/>
      <c r="J309" s="9" t="s">
        <v>21</v>
      </c>
      <c r="K309" s="9" t="s">
        <v>22</v>
      </c>
      <c r="L309" s="11" t="s">
        <v>23</v>
      </c>
      <c r="M309" s="11" t="s">
        <v>24</v>
      </c>
      <c r="N309" s="9" t="s">
        <v>25</v>
      </c>
      <c r="O309" s="14">
        <f t="shared" si="4"/>
        <v>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1.5" customHeight="1">
      <c r="A310" s="15">
        <v>306.0</v>
      </c>
      <c r="B310" s="10" t="s">
        <v>916</v>
      </c>
      <c r="C310" s="11" t="s">
        <v>917</v>
      </c>
      <c r="D310" s="12" t="s">
        <v>918</v>
      </c>
      <c r="E310" s="12">
        <v>2020.0</v>
      </c>
      <c r="F310" s="13" t="s">
        <v>19</v>
      </c>
      <c r="G310" s="9"/>
      <c r="H310" s="11" t="s">
        <v>20</v>
      </c>
      <c r="I310" s="15"/>
      <c r="J310" s="9" t="s">
        <v>21</v>
      </c>
      <c r="K310" s="9" t="s">
        <v>22</v>
      </c>
      <c r="L310" s="11" t="s">
        <v>23</v>
      </c>
      <c r="M310" s="11" t="s">
        <v>24</v>
      </c>
      <c r="N310" s="9" t="s">
        <v>25</v>
      </c>
      <c r="O310" s="14">
        <f t="shared" si="4"/>
        <v>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1.5" customHeight="1">
      <c r="A311" s="15">
        <v>307.0</v>
      </c>
      <c r="B311" s="10" t="s">
        <v>919</v>
      </c>
      <c r="C311" s="11" t="s">
        <v>920</v>
      </c>
      <c r="D311" s="12" t="s">
        <v>921</v>
      </c>
      <c r="E311" s="12">
        <v>2020.0</v>
      </c>
      <c r="F311" s="13" t="s">
        <v>19</v>
      </c>
      <c r="G311" s="9"/>
      <c r="H311" s="11" t="s">
        <v>20</v>
      </c>
      <c r="I311" s="15"/>
      <c r="J311" s="9" t="s">
        <v>21</v>
      </c>
      <c r="K311" s="9" t="s">
        <v>22</v>
      </c>
      <c r="L311" s="11" t="s">
        <v>23</v>
      </c>
      <c r="M311" s="11" t="s">
        <v>24</v>
      </c>
      <c r="N311" s="9" t="s">
        <v>25</v>
      </c>
      <c r="O311" s="14">
        <f t="shared" si="4"/>
        <v>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1.5" customHeight="1">
      <c r="A312" s="15">
        <v>308.0</v>
      </c>
      <c r="B312" s="10" t="s">
        <v>922</v>
      </c>
      <c r="C312" s="11" t="s">
        <v>923</v>
      </c>
      <c r="D312" s="12" t="s">
        <v>924</v>
      </c>
      <c r="E312" s="12">
        <v>2020.0</v>
      </c>
      <c r="F312" s="13" t="s">
        <v>19</v>
      </c>
      <c r="G312" s="9"/>
      <c r="H312" s="11" t="s">
        <v>20</v>
      </c>
      <c r="I312" s="15"/>
      <c r="J312" s="9" t="s">
        <v>21</v>
      </c>
      <c r="K312" s="9" t="s">
        <v>22</v>
      </c>
      <c r="L312" s="11" t="s">
        <v>23</v>
      </c>
      <c r="M312" s="11" t="s">
        <v>24</v>
      </c>
      <c r="N312" s="9" t="s">
        <v>25</v>
      </c>
      <c r="O312" s="14">
        <f t="shared" si="4"/>
        <v>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1.5" customHeight="1">
      <c r="A313" s="15">
        <v>309.0</v>
      </c>
      <c r="B313" s="10" t="s">
        <v>925</v>
      </c>
      <c r="C313" s="11" t="s">
        <v>926</v>
      </c>
      <c r="D313" s="12" t="s">
        <v>927</v>
      </c>
      <c r="E313" s="12">
        <v>2020.0</v>
      </c>
      <c r="F313" s="13" t="s">
        <v>19</v>
      </c>
      <c r="G313" s="9"/>
      <c r="H313" s="11" t="s">
        <v>20</v>
      </c>
      <c r="I313" s="15"/>
      <c r="J313" s="9" t="s">
        <v>21</v>
      </c>
      <c r="K313" s="9" t="s">
        <v>22</v>
      </c>
      <c r="L313" s="11" t="s">
        <v>23</v>
      </c>
      <c r="M313" s="11" t="s">
        <v>24</v>
      </c>
      <c r="N313" s="9" t="s">
        <v>25</v>
      </c>
      <c r="O313" s="14">
        <f t="shared" si="4"/>
        <v>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1.5" customHeight="1">
      <c r="A314" s="15">
        <v>310.0</v>
      </c>
      <c r="B314" s="10" t="s">
        <v>928</v>
      </c>
      <c r="C314" s="11" t="s">
        <v>929</v>
      </c>
      <c r="D314" s="12" t="s">
        <v>930</v>
      </c>
      <c r="E314" s="12">
        <v>2020.0</v>
      </c>
      <c r="F314" s="13" t="s">
        <v>19</v>
      </c>
      <c r="G314" s="9"/>
      <c r="H314" s="11" t="s">
        <v>20</v>
      </c>
      <c r="I314" s="15"/>
      <c r="J314" s="9" t="s">
        <v>21</v>
      </c>
      <c r="K314" s="9" t="s">
        <v>22</v>
      </c>
      <c r="L314" s="11" t="s">
        <v>23</v>
      </c>
      <c r="M314" s="11" t="s">
        <v>24</v>
      </c>
      <c r="N314" s="9" t="s">
        <v>25</v>
      </c>
      <c r="O314" s="14">
        <f t="shared" si="4"/>
        <v>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1.5" customHeight="1">
      <c r="A315" s="15">
        <v>311.0</v>
      </c>
      <c r="B315" s="10" t="s">
        <v>931</v>
      </c>
      <c r="C315" s="11" t="s">
        <v>932</v>
      </c>
      <c r="D315" s="12" t="s">
        <v>933</v>
      </c>
      <c r="E315" s="12">
        <v>2020.0</v>
      </c>
      <c r="F315" s="13" t="s">
        <v>19</v>
      </c>
      <c r="G315" s="9"/>
      <c r="H315" s="11" t="s">
        <v>20</v>
      </c>
      <c r="I315" s="15"/>
      <c r="J315" s="9" t="s">
        <v>21</v>
      </c>
      <c r="K315" s="9" t="s">
        <v>22</v>
      </c>
      <c r="L315" s="11" t="s">
        <v>23</v>
      </c>
      <c r="M315" s="11" t="s">
        <v>24</v>
      </c>
      <c r="N315" s="9" t="s">
        <v>25</v>
      </c>
      <c r="O315" s="14">
        <f t="shared" si="4"/>
        <v>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1.5" customHeight="1">
      <c r="A316" s="15">
        <v>312.0</v>
      </c>
      <c r="B316" s="10" t="s">
        <v>934</v>
      </c>
      <c r="C316" s="11" t="s">
        <v>935</v>
      </c>
      <c r="D316" s="12" t="s">
        <v>936</v>
      </c>
      <c r="E316" s="12">
        <v>2020.0</v>
      </c>
      <c r="F316" s="13" t="s">
        <v>19</v>
      </c>
      <c r="G316" s="9"/>
      <c r="H316" s="11" t="s">
        <v>20</v>
      </c>
      <c r="I316" s="15"/>
      <c r="J316" s="9" t="s">
        <v>21</v>
      </c>
      <c r="K316" s="9" t="s">
        <v>22</v>
      </c>
      <c r="L316" s="11" t="s">
        <v>23</v>
      </c>
      <c r="M316" s="11" t="s">
        <v>24</v>
      </c>
      <c r="N316" s="9" t="s">
        <v>25</v>
      </c>
      <c r="O316" s="14">
        <f t="shared" si="4"/>
        <v>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1.5" customHeight="1">
      <c r="A317" s="15">
        <v>313.0</v>
      </c>
      <c r="B317" s="10" t="s">
        <v>937</v>
      </c>
      <c r="C317" s="11" t="s">
        <v>938</v>
      </c>
      <c r="D317" s="12" t="s">
        <v>939</v>
      </c>
      <c r="E317" s="12">
        <v>2020.0</v>
      </c>
      <c r="F317" s="13" t="s">
        <v>19</v>
      </c>
      <c r="G317" s="9"/>
      <c r="H317" s="11" t="s">
        <v>20</v>
      </c>
      <c r="I317" s="15"/>
      <c r="J317" s="9" t="s">
        <v>21</v>
      </c>
      <c r="K317" s="9" t="s">
        <v>22</v>
      </c>
      <c r="L317" s="11" t="s">
        <v>23</v>
      </c>
      <c r="M317" s="11" t="s">
        <v>24</v>
      </c>
      <c r="N317" s="9" t="s">
        <v>25</v>
      </c>
      <c r="O317" s="14">
        <f t="shared" si="4"/>
        <v>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1.5" customHeight="1">
      <c r="A318" s="15">
        <v>314.0</v>
      </c>
      <c r="B318" s="10" t="s">
        <v>940</v>
      </c>
      <c r="C318" s="11" t="s">
        <v>941</v>
      </c>
      <c r="D318" s="12" t="s">
        <v>942</v>
      </c>
      <c r="E318" s="12">
        <v>2020.0</v>
      </c>
      <c r="F318" s="13" t="s">
        <v>19</v>
      </c>
      <c r="G318" s="9"/>
      <c r="H318" s="11" t="s">
        <v>20</v>
      </c>
      <c r="I318" s="15"/>
      <c r="J318" s="9" t="s">
        <v>21</v>
      </c>
      <c r="K318" s="9" t="s">
        <v>22</v>
      </c>
      <c r="L318" s="11" t="s">
        <v>23</v>
      </c>
      <c r="M318" s="11" t="s">
        <v>24</v>
      </c>
      <c r="N318" s="9" t="s">
        <v>25</v>
      </c>
      <c r="O318" s="14">
        <f t="shared" si="4"/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1.5" customHeight="1">
      <c r="A319" s="15">
        <v>315.0</v>
      </c>
      <c r="B319" s="10" t="s">
        <v>943</v>
      </c>
      <c r="C319" s="11" t="s">
        <v>944</v>
      </c>
      <c r="D319" s="12" t="s">
        <v>945</v>
      </c>
      <c r="E319" s="12">
        <v>2020.0</v>
      </c>
      <c r="F319" s="13" t="s">
        <v>19</v>
      </c>
      <c r="G319" s="9"/>
      <c r="H319" s="11" t="s">
        <v>20</v>
      </c>
      <c r="I319" s="15"/>
      <c r="J319" s="9" t="s">
        <v>21</v>
      </c>
      <c r="K319" s="9" t="s">
        <v>22</v>
      </c>
      <c r="L319" s="11" t="s">
        <v>23</v>
      </c>
      <c r="M319" s="11" t="s">
        <v>24</v>
      </c>
      <c r="N319" s="9" t="s">
        <v>25</v>
      </c>
      <c r="O319" s="14">
        <f t="shared" si="4"/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1.5" customHeight="1">
      <c r="A320" s="15">
        <v>316.0</v>
      </c>
      <c r="B320" s="10" t="s">
        <v>946</v>
      </c>
      <c r="C320" s="11" t="s">
        <v>947</v>
      </c>
      <c r="D320" s="12" t="s">
        <v>948</v>
      </c>
      <c r="E320" s="12">
        <v>2020.0</v>
      </c>
      <c r="F320" s="13" t="s">
        <v>19</v>
      </c>
      <c r="G320" s="9"/>
      <c r="H320" s="11" t="s">
        <v>20</v>
      </c>
      <c r="I320" s="15"/>
      <c r="J320" s="9" t="s">
        <v>21</v>
      </c>
      <c r="K320" s="9" t="s">
        <v>22</v>
      </c>
      <c r="L320" s="11" t="s">
        <v>23</v>
      </c>
      <c r="M320" s="11" t="s">
        <v>24</v>
      </c>
      <c r="N320" s="9" t="s">
        <v>25</v>
      </c>
      <c r="O320" s="14">
        <f t="shared" si="4"/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1.5" customHeight="1">
      <c r="A321" s="15">
        <v>317.0</v>
      </c>
      <c r="B321" s="10" t="s">
        <v>949</v>
      </c>
      <c r="C321" s="11" t="s">
        <v>950</v>
      </c>
      <c r="D321" s="12" t="s">
        <v>951</v>
      </c>
      <c r="E321" s="12">
        <v>2020.0</v>
      </c>
      <c r="F321" s="13" t="s">
        <v>19</v>
      </c>
      <c r="G321" s="9"/>
      <c r="H321" s="11" t="s">
        <v>20</v>
      </c>
      <c r="I321" s="15"/>
      <c r="J321" s="9" t="s">
        <v>21</v>
      </c>
      <c r="K321" s="9" t="s">
        <v>22</v>
      </c>
      <c r="L321" s="11" t="s">
        <v>23</v>
      </c>
      <c r="M321" s="11" t="s">
        <v>24</v>
      </c>
      <c r="N321" s="9" t="s">
        <v>25</v>
      </c>
      <c r="O321" s="14">
        <f t="shared" si="4"/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1.5" customHeight="1">
      <c r="A322" s="15">
        <v>318.0</v>
      </c>
      <c r="B322" s="10" t="s">
        <v>952</v>
      </c>
      <c r="C322" s="11" t="s">
        <v>953</v>
      </c>
      <c r="D322" s="12" t="s">
        <v>954</v>
      </c>
      <c r="E322" s="12">
        <v>2020.0</v>
      </c>
      <c r="F322" s="13" t="s">
        <v>19</v>
      </c>
      <c r="G322" s="9"/>
      <c r="H322" s="11" t="s">
        <v>20</v>
      </c>
      <c r="I322" s="15"/>
      <c r="J322" s="9" t="s">
        <v>21</v>
      </c>
      <c r="K322" s="9" t="s">
        <v>22</v>
      </c>
      <c r="L322" s="11" t="s">
        <v>23</v>
      </c>
      <c r="M322" s="11" t="s">
        <v>24</v>
      </c>
      <c r="N322" s="9" t="s">
        <v>25</v>
      </c>
      <c r="O322" s="14">
        <f t="shared" si="4"/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1.5" customHeight="1">
      <c r="A323" s="15">
        <v>319.0</v>
      </c>
      <c r="B323" s="10" t="s">
        <v>955</v>
      </c>
      <c r="C323" s="11" t="s">
        <v>956</v>
      </c>
      <c r="D323" s="12" t="s">
        <v>957</v>
      </c>
      <c r="E323" s="12">
        <v>2020.0</v>
      </c>
      <c r="F323" s="13" t="s">
        <v>19</v>
      </c>
      <c r="G323" s="9"/>
      <c r="H323" s="11" t="s">
        <v>20</v>
      </c>
      <c r="I323" s="15"/>
      <c r="J323" s="9" t="s">
        <v>21</v>
      </c>
      <c r="K323" s="9" t="s">
        <v>22</v>
      </c>
      <c r="L323" s="11" t="s">
        <v>23</v>
      </c>
      <c r="M323" s="11" t="s">
        <v>24</v>
      </c>
      <c r="N323" s="9" t="s">
        <v>25</v>
      </c>
      <c r="O323" s="14">
        <f t="shared" si="4"/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1.5" customHeight="1">
      <c r="A324" s="15">
        <v>320.0</v>
      </c>
      <c r="B324" s="10" t="s">
        <v>958</v>
      </c>
      <c r="C324" s="11" t="s">
        <v>959</v>
      </c>
      <c r="D324" s="12" t="s">
        <v>960</v>
      </c>
      <c r="E324" s="12">
        <v>2020.0</v>
      </c>
      <c r="F324" s="13" t="s">
        <v>19</v>
      </c>
      <c r="G324" s="9"/>
      <c r="H324" s="11" t="s">
        <v>20</v>
      </c>
      <c r="I324" s="15"/>
      <c r="J324" s="9" t="s">
        <v>21</v>
      </c>
      <c r="K324" s="9" t="s">
        <v>22</v>
      </c>
      <c r="L324" s="11" t="s">
        <v>23</v>
      </c>
      <c r="M324" s="11" t="s">
        <v>24</v>
      </c>
      <c r="N324" s="9" t="s">
        <v>25</v>
      </c>
      <c r="O324" s="14">
        <f t="shared" si="4"/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1.5" customHeight="1">
      <c r="A325" s="15">
        <v>321.0</v>
      </c>
      <c r="B325" s="10" t="s">
        <v>961</v>
      </c>
      <c r="C325" s="11" t="s">
        <v>962</v>
      </c>
      <c r="D325" s="12" t="s">
        <v>963</v>
      </c>
      <c r="E325" s="12">
        <v>2020.0</v>
      </c>
      <c r="F325" s="13" t="s">
        <v>19</v>
      </c>
      <c r="G325" s="9"/>
      <c r="H325" s="11" t="s">
        <v>20</v>
      </c>
      <c r="I325" s="15"/>
      <c r="J325" s="9" t="s">
        <v>21</v>
      </c>
      <c r="K325" s="9" t="s">
        <v>22</v>
      </c>
      <c r="L325" s="11" t="s">
        <v>23</v>
      </c>
      <c r="M325" s="11" t="s">
        <v>24</v>
      </c>
      <c r="N325" s="9" t="s">
        <v>25</v>
      </c>
      <c r="O325" s="14">
        <f t="shared" si="4"/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1.5" customHeight="1">
      <c r="A326" s="15">
        <v>322.0</v>
      </c>
      <c r="B326" s="10" t="s">
        <v>964</v>
      </c>
      <c r="C326" s="11" t="s">
        <v>965</v>
      </c>
      <c r="D326" s="12" t="s">
        <v>966</v>
      </c>
      <c r="E326" s="12">
        <v>2020.0</v>
      </c>
      <c r="F326" s="13" t="s">
        <v>19</v>
      </c>
      <c r="G326" s="9"/>
      <c r="H326" s="11" t="s">
        <v>20</v>
      </c>
      <c r="I326" s="15"/>
      <c r="J326" s="9" t="s">
        <v>21</v>
      </c>
      <c r="K326" s="9" t="s">
        <v>22</v>
      </c>
      <c r="L326" s="11" t="s">
        <v>23</v>
      </c>
      <c r="M326" s="11" t="s">
        <v>24</v>
      </c>
      <c r="N326" s="9" t="s">
        <v>25</v>
      </c>
      <c r="O326" s="14">
        <f t="shared" si="4"/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1.5" customHeight="1">
      <c r="A327" s="15">
        <v>323.0</v>
      </c>
      <c r="B327" s="10" t="s">
        <v>967</v>
      </c>
      <c r="C327" s="11" t="s">
        <v>965</v>
      </c>
      <c r="D327" s="12" t="s">
        <v>968</v>
      </c>
      <c r="E327" s="12">
        <v>2020.0</v>
      </c>
      <c r="F327" s="13" t="s">
        <v>19</v>
      </c>
      <c r="G327" s="9"/>
      <c r="H327" s="11" t="s">
        <v>20</v>
      </c>
      <c r="I327" s="15"/>
      <c r="J327" s="9" t="s">
        <v>21</v>
      </c>
      <c r="K327" s="9" t="s">
        <v>22</v>
      </c>
      <c r="L327" s="11" t="s">
        <v>23</v>
      </c>
      <c r="M327" s="11" t="s">
        <v>24</v>
      </c>
      <c r="N327" s="9" t="s">
        <v>25</v>
      </c>
      <c r="O327" s="14">
        <f t="shared" si="4"/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1.5" customHeight="1">
      <c r="A328" s="15">
        <v>324.0</v>
      </c>
      <c r="B328" s="10" t="s">
        <v>969</v>
      </c>
      <c r="C328" s="11" t="s">
        <v>970</v>
      </c>
      <c r="D328" s="12" t="s">
        <v>971</v>
      </c>
      <c r="E328" s="12">
        <v>2020.0</v>
      </c>
      <c r="F328" s="13" t="s">
        <v>19</v>
      </c>
      <c r="G328" s="9"/>
      <c r="H328" s="11" t="s">
        <v>20</v>
      </c>
      <c r="I328" s="15"/>
      <c r="J328" s="9" t="s">
        <v>21</v>
      </c>
      <c r="K328" s="9" t="s">
        <v>22</v>
      </c>
      <c r="L328" s="11" t="s">
        <v>23</v>
      </c>
      <c r="M328" s="11" t="s">
        <v>24</v>
      </c>
      <c r="N328" s="9" t="s">
        <v>25</v>
      </c>
      <c r="O328" s="14">
        <f t="shared" si="4"/>
        <v>0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1.5" customHeight="1">
      <c r="A329" s="15">
        <v>325.0</v>
      </c>
      <c r="B329" s="10" t="s">
        <v>972</v>
      </c>
      <c r="C329" s="11" t="s">
        <v>973</v>
      </c>
      <c r="D329" s="12" t="s">
        <v>974</v>
      </c>
      <c r="E329" s="12">
        <v>2020.0</v>
      </c>
      <c r="F329" s="13" t="s">
        <v>19</v>
      </c>
      <c r="G329" s="9"/>
      <c r="H329" s="11" t="s">
        <v>20</v>
      </c>
      <c r="I329" s="15"/>
      <c r="J329" s="9" t="s">
        <v>21</v>
      </c>
      <c r="K329" s="9" t="s">
        <v>22</v>
      </c>
      <c r="L329" s="11" t="s">
        <v>23</v>
      </c>
      <c r="M329" s="11" t="s">
        <v>24</v>
      </c>
      <c r="N329" s="9" t="s">
        <v>25</v>
      </c>
      <c r="O329" s="14">
        <f t="shared" si="4"/>
        <v>0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1.5" customHeight="1">
      <c r="A330" s="15">
        <v>326.0</v>
      </c>
      <c r="B330" s="10" t="s">
        <v>975</v>
      </c>
      <c r="C330" s="11" t="s">
        <v>976</v>
      </c>
      <c r="D330" s="12" t="s">
        <v>977</v>
      </c>
      <c r="E330" s="12">
        <v>2020.0</v>
      </c>
      <c r="F330" s="13" t="s">
        <v>19</v>
      </c>
      <c r="G330" s="9"/>
      <c r="H330" s="11" t="s">
        <v>20</v>
      </c>
      <c r="I330" s="15"/>
      <c r="J330" s="9" t="s">
        <v>21</v>
      </c>
      <c r="K330" s="9" t="s">
        <v>22</v>
      </c>
      <c r="L330" s="11" t="s">
        <v>23</v>
      </c>
      <c r="M330" s="11" t="s">
        <v>24</v>
      </c>
      <c r="N330" s="9" t="s">
        <v>25</v>
      </c>
      <c r="O330" s="14">
        <f t="shared" si="4"/>
        <v>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1.5" customHeight="1">
      <c r="A331" s="15">
        <v>327.0</v>
      </c>
      <c r="B331" s="10" t="s">
        <v>978</v>
      </c>
      <c r="C331" s="11" t="s">
        <v>979</v>
      </c>
      <c r="D331" s="12" t="s">
        <v>980</v>
      </c>
      <c r="E331" s="12">
        <v>2020.0</v>
      </c>
      <c r="F331" s="13" t="s">
        <v>19</v>
      </c>
      <c r="G331" s="9"/>
      <c r="H331" s="11" t="s">
        <v>20</v>
      </c>
      <c r="I331" s="15"/>
      <c r="J331" s="9" t="s">
        <v>21</v>
      </c>
      <c r="K331" s="9" t="s">
        <v>22</v>
      </c>
      <c r="L331" s="11" t="s">
        <v>23</v>
      </c>
      <c r="M331" s="11" t="s">
        <v>24</v>
      </c>
      <c r="N331" s="9" t="s">
        <v>25</v>
      </c>
      <c r="O331" s="14">
        <f t="shared" si="4"/>
        <v>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1.5" customHeight="1">
      <c r="A332" s="15">
        <v>328.0</v>
      </c>
      <c r="B332" s="10" t="s">
        <v>981</v>
      </c>
      <c r="C332" s="11" t="s">
        <v>982</v>
      </c>
      <c r="D332" s="12" t="s">
        <v>983</v>
      </c>
      <c r="E332" s="12">
        <v>2020.0</v>
      </c>
      <c r="F332" s="13" t="s">
        <v>19</v>
      </c>
      <c r="G332" s="9"/>
      <c r="H332" s="11" t="s">
        <v>20</v>
      </c>
      <c r="I332" s="15"/>
      <c r="J332" s="9" t="s">
        <v>21</v>
      </c>
      <c r="K332" s="9" t="s">
        <v>22</v>
      </c>
      <c r="L332" s="11" t="s">
        <v>23</v>
      </c>
      <c r="M332" s="11" t="s">
        <v>24</v>
      </c>
      <c r="N332" s="9" t="s">
        <v>25</v>
      </c>
      <c r="O332" s="14">
        <f t="shared" si="4"/>
        <v>0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1.5" customHeight="1">
      <c r="A333" s="15">
        <v>329.0</v>
      </c>
      <c r="B333" s="10" t="s">
        <v>984</v>
      </c>
      <c r="C333" s="11" t="s">
        <v>985</v>
      </c>
      <c r="D333" s="12" t="s">
        <v>986</v>
      </c>
      <c r="E333" s="12">
        <v>2020.0</v>
      </c>
      <c r="F333" s="13" t="s">
        <v>19</v>
      </c>
      <c r="G333" s="9"/>
      <c r="H333" s="11" t="s">
        <v>20</v>
      </c>
      <c r="I333" s="15"/>
      <c r="J333" s="9" t="s">
        <v>21</v>
      </c>
      <c r="K333" s="9" t="s">
        <v>22</v>
      </c>
      <c r="L333" s="11" t="s">
        <v>23</v>
      </c>
      <c r="M333" s="11" t="s">
        <v>24</v>
      </c>
      <c r="N333" s="9" t="s">
        <v>25</v>
      </c>
      <c r="O333" s="14">
        <f t="shared" si="4"/>
        <v>0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1.5" customHeight="1">
      <c r="A334" s="15">
        <v>330.0</v>
      </c>
      <c r="B334" s="10" t="s">
        <v>987</v>
      </c>
      <c r="C334" s="11" t="s">
        <v>988</v>
      </c>
      <c r="D334" s="12" t="s">
        <v>989</v>
      </c>
      <c r="E334" s="12">
        <v>2020.0</v>
      </c>
      <c r="F334" s="13" t="s">
        <v>19</v>
      </c>
      <c r="G334" s="9"/>
      <c r="H334" s="11" t="s">
        <v>20</v>
      </c>
      <c r="I334" s="15"/>
      <c r="J334" s="9" t="s">
        <v>21</v>
      </c>
      <c r="K334" s="9" t="s">
        <v>22</v>
      </c>
      <c r="L334" s="11" t="s">
        <v>23</v>
      </c>
      <c r="M334" s="11" t="s">
        <v>24</v>
      </c>
      <c r="N334" s="9" t="s">
        <v>25</v>
      </c>
      <c r="O334" s="14">
        <f t="shared" si="4"/>
        <v>0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1.5" customHeight="1">
      <c r="A335" s="15">
        <v>331.0</v>
      </c>
      <c r="B335" s="10" t="s">
        <v>990</v>
      </c>
      <c r="C335" s="11" t="s">
        <v>991</v>
      </c>
      <c r="D335" s="12" t="s">
        <v>992</v>
      </c>
      <c r="E335" s="12">
        <v>2020.0</v>
      </c>
      <c r="F335" s="13" t="s">
        <v>19</v>
      </c>
      <c r="G335" s="9"/>
      <c r="H335" s="11" t="s">
        <v>20</v>
      </c>
      <c r="I335" s="15"/>
      <c r="J335" s="9" t="s">
        <v>21</v>
      </c>
      <c r="K335" s="9" t="s">
        <v>22</v>
      </c>
      <c r="L335" s="11" t="s">
        <v>23</v>
      </c>
      <c r="M335" s="11" t="s">
        <v>24</v>
      </c>
      <c r="N335" s="9" t="s">
        <v>25</v>
      </c>
      <c r="O335" s="14">
        <f t="shared" si="4"/>
        <v>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1.5" customHeight="1">
      <c r="A336" s="15">
        <v>332.0</v>
      </c>
      <c r="B336" s="10" t="s">
        <v>993</v>
      </c>
      <c r="C336" s="11" t="s">
        <v>994</v>
      </c>
      <c r="D336" s="12" t="s">
        <v>995</v>
      </c>
      <c r="E336" s="12">
        <v>2020.0</v>
      </c>
      <c r="F336" s="13" t="s">
        <v>19</v>
      </c>
      <c r="G336" s="9"/>
      <c r="H336" s="11" t="s">
        <v>20</v>
      </c>
      <c r="I336" s="15"/>
      <c r="J336" s="9" t="s">
        <v>21</v>
      </c>
      <c r="K336" s="9" t="s">
        <v>22</v>
      </c>
      <c r="L336" s="11" t="s">
        <v>23</v>
      </c>
      <c r="M336" s="11" t="s">
        <v>24</v>
      </c>
      <c r="N336" s="9" t="s">
        <v>25</v>
      </c>
      <c r="O336" s="14">
        <f t="shared" si="4"/>
        <v>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1.5" customHeight="1">
      <c r="A337" s="15">
        <v>333.0</v>
      </c>
      <c r="B337" s="10" t="s">
        <v>996</v>
      </c>
      <c r="C337" s="11" t="s">
        <v>997</v>
      </c>
      <c r="D337" s="12" t="s">
        <v>998</v>
      </c>
      <c r="E337" s="12">
        <v>2020.0</v>
      </c>
      <c r="F337" s="13" t="s">
        <v>19</v>
      </c>
      <c r="G337" s="9"/>
      <c r="H337" s="11" t="s">
        <v>20</v>
      </c>
      <c r="I337" s="15"/>
      <c r="J337" s="9" t="s">
        <v>21</v>
      </c>
      <c r="K337" s="9" t="s">
        <v>22</v>
      </c>
      <c r="L337" s="11" t="s">
        <v>23</v>
      </c>
      <c r="M337" s="11" t="s">
        <v>24</v>
      </c>
      <c r="N337" s="9" t="s">
        <v>25</v>
      </c>
      <c r="O337" s="14">
        <f t="shared" si="4"/>
        <v>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1.5" customHeight="1">
      <c r="A338" s="15">
        <v>334.0</v>
      </c>
      <c r="B338" s="10" t="s">
        <v>999</v>
      </c>
      <c r="C338" s="11" t="s">
        <v>1000</v>
      </c>
      <c r="D338" s="12" t="s">
        <v>1001</v>
      </c>
      <c r="E338" s="12">
        <v>2020.0</v>
      </c>
      <c r="F338" s="13" t="s">
        <v>19</v>
      </c>
      <c r="G338" s="9"/>
      <c r="H338" s="11" t="s">
        <v>20</v>
      </c>
      <c r="I338" s="15"/>
      <c r="J338" s="9" t="s">
        <v>21</v>
      </c>
      <c r="K338" s="9" t="s">
        <v>22</v>
      </c>
      <c r="L338" s="11" t="s">
        <v>23</v>
      </c>
      <c r="M338" s="11" t="s">
        <v>24</v>
      </c>
      <c r="N338" s="9" t="s">
        <v>25</v>
      </c>
      <c r="O338" s="14">
        <f t="shared" si="4"/>
        <v>0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1.5" customHeight="1">
      <c r="A339" s="15">
        <v>335.0</v>
      </c>
      <c r="B339" s="10" t="s">
        <v>1002</v>
      </c>
      <c r="C339" s="11" t="s">
        <v>1003</v>
      </c>
      <c r="D339" s="12" t="s">
        <v>1004</v>
      </c>
      <c r="E339" s="12">
        <v>2020.0</v>
      </c>
      <c r="F339" s="13" t="s">
        <v>19</v>
      </c>
      <c r="G339" s="9"/>
      <c r="H339" s="11" t="s">
        <v>20</v>
      </c>
      <c r="I339" s="15"/>
      <c r="J339" s="9" t="s">
        <v>21</v>
      </c>
      <c r="K339" s="9" t="s">
        <v>22</v>
      </c>
      <c r="L339" s="11" t="s">
        <v>23</v>
      </c>
      <c r="M339" s="11" t="s">
        <v>24</v>
      </c>
      <c r="N339" s="9" t="s">
        <v>25</v>
      </c>
      <c r="O339" s="14">
        <f t="shared" si="4"/>
        <v>0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1.5" customHeight="1">
      <c r="A340" s="15">
        <v>336.0</v>
      </c>
      <c r="B340" s="10" t="s">
        <v>1005</v>
      </c>
      <c r="C340" s="11" t="s">
        <v>1006</v>
      </c>
      <c r="D340" s="12" t="s">
        <v>1007</v>
      </c>
      <c r="E340" s="12">
        <v>2020.0</v>
      </c>
      <c r="F340" s="13" t="s">
        <v>19</v>
      </c>
      <c r="G340" s="9"/>
      <c r="H340" s="11" t="s">
        <v>20</v>
      </c>
      <c r="I340" s="15"/>
      <c r="J340" s="9" t="s">
        <v>21</v>
      </c>
      <c r="K340" s="9" t="s">
        <v>22</v>
      </c>
      <c r="L340" s="11" t="s">
        <v>23</v>
      </c>
      <c r="M340" s="11" t="s">
        <v>24</v>
      </c>
      <c r="N340" s="9" t="s">
        <v>25</v>
      </c>
      <c r="O340" s="14">
        <f t="shared" si="4"/>
        <v>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1.5" customHeight="1">
      <c r="A341" s="15">
        <v>337.0</v>
      </c>
      <c r="B341" s="10" t="s">
        <v>1008</v>
      </c>
      <c r="C341" s="11" t="s">
        <v>1009</v>
      </c>
      <c r="D341" s="12" t="s">
        <v>1010</v>
      </c>
      <c r="E341" s="12">
        <v>2020.0</v>
      </c>
      <c r="F341" s="13" t="s">
        <v>19</v>
      </c>
      <c r="G341" s="9"/>
      <c r="H341" s="11" t="s">
        <v>20</v>
      </c>
      <c r="I341" s="15"/>
      <c r="J341" s="9" t="s">
        <v>21</v>
      </c>
      <c r="K341" s="9" t="s">
        <v>22</v>
      </c>
      <c r="L341" s="11" t="s">
        <v>23</v>
      </c>
      <c r="M341" s="11" t="s">
        <v>24</v>
      </c>
      <c r="N341" s="9" t="s">
        <v>25</v>
      </c>
      <c r="O341" s="14">
        <f t="shared" si="4"/>
        <v>0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1.5" customHeight="1">
      <c r="A342" s="15">
        <v>338.0</v>
      </c>
      <c r="B342" s="10" t="s">
        <v>1011</v>
      </c>
      <c r="C342" s="11" t="s">
        <v>1012</v>
      </c>
      <c r="D342" s="12" t="s">
        <v>1013</v>
      </c>
      <c r="E342" s="12">
        <v>2020.0</v>
      </c>
      <c r="F342" s="13" t="s">
        <v>19</v>
      </c>
      <c r="G342" s="9"/>
      <c r="H342" s="11" t="s">
        <v>20</v>
      </c>
      <c r="I342" s="15"/>
      <c r="J342" s="9" t="s">
        <v>21</v>
      </c>
      <c r="K342" s="9" t="s">
        <v>22</v>
      </c>
      <c r="L342" s="11" t="s">
        <v>23</v>
      </c>
      <c r="M342" s="11" t="s">
        <v>24</v>
      </c>
      <c r="N342" s="9" t="s">
        <v>25</v>
      </c>
      <c r="O342" s="14">
        <f t="shared" si="4"/>
        <v>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1.5" customHeight="1">
      <c r="A343" s="15">
        <v>339.0</v>
      </c>
      <c r="B343" s="10" t="s">
        <v>1014</v>
      </c>
      <c r="C343" s="11" t="s">
        <v>1015</v>
      </c>
      <c r="D343" s="12" t="s">
        <v>1016</v>
      </c>
      <c r="E343" s="12">
        <v>2020.0</v>
      </c>
      <c r="F343" s="13" t="s">
        <v>19</v>
      </c>
      <c r="G343" s="9"/>
      <c r="H343" s="11" t="s">
        <v>20</v>
      </c>
      <c r="I343" s="15"/>
      <c r="J343" s="9" t="s">
        <v>21</v>
      </c>
      <c r="K343" s="9" t="s">
        <v>22</v>
      </c>
      <c r="L343" s="11" t="s">
        <v>23</v>
      </c>
      <c r="M343" s="11" t="s">
        <v>24</v>
      </c>
      <c r="N343" s="9" t="s">
        <v>25</v>
      </c>
      <c r="O343" s="14">
        <f t="shared" si="4"/>
        <v>0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1.5" customHeight="1">
      <c r="A344" s="15">
        <v>340.0</v>
      </c>
      <c r="B344" s="10" t="s">
        <v>1017</v>
      </c>
      <c r="C344" s="11" t="s">
        <v>1018</v>
      </c>
      <c r="D344" s="12" t="s">
        <v>1019</v>
      </c>
      <c r="E344" s="12">
        <v>2020.0</v>
      </c>
      <c r="F344" s="13" t="s">
        <v>19</v>
      </c>
      <c r="G344" s="9"/>
      <c r="H344" s="11" t="s">
        <v>20</v>
      </c>
      <c r="I344" s="15"/>
      <c r="J344" s="9" t="s">
        <v>21</v>
      </c>
      <c r="K344" s="9" t="s">
        <v>22</v>
      </c>
      <c r="L344" s="11" t="s">
        <v>23</v>
      </c>
      <c r="M344" s="11" t="s">
        <v>24</v>
      </c>
      <c r="N344" s="9" t="s">
        <v>25</v>
      </c>
      <c r="O344" s="14">
        <f t="shared" si="4"/>
        <v>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1.5" customHeight="1">
      <c r="A345" s="15">
        <v>341.0</v>
      </c>
      <c r="B345" s="10" t="s">
        <v>1020</v>
      </c>
      <c r="C345" s="11" t="s">
        <v>1021</v>
      </c>
      <c r="D345" s="12" t="s">
        <v>1022</v>
      </c>
      <c r="E345" s="12">
        <v>2020.0</v>
      </c>
      <c r="F345" s="13" t="s">
        <v>19</v>
      </c>
      <c r="G345" s="9"/>
      <c r="H345" s="11" t="s">
        <v>20</v>
      </c>
      <c r="I345" s="15"/>
      <c r="J345" s="9" t="s">
        <v>21</v>
      </c>
      <c r="K345" s="9" t="s">
        <v>22</v>
      </c>
      <c r="L345" s="11" t="s">
        <v>23</v>
      </c>
      <c r="M345" s="11" t="s">
        <v>24</v>
      </c>
      <c r="N345" s="9" t="s">
        <v>25</v>
      </c>
      <c r="O345" s="14">
        <f t="shared" si="4"/>
        <v>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1.5" customHeight="1">
      <c r="A346" s="15">
        <v>342.0</v>
      </c>
      <c r="B346" s="10" t="s">
        <v>1023</v>
      </c>
      <c r="C346" s="11" t="s">
        <v>611</v>
      </c>
      <c r="D346" s="12" t="s">
        <v>1024</v>
      </c>
      <c r="E346" s="12">
        <v>2020.0</v>
      </c>
      <c r="F346" s="13" t="s">
        <v>19</v>
      </c>
      <c r="G346" s="9"/>
      <c r="H346" s="11" t="s">
        <v>20</v>
      </c>
      <c r="I346" s="15"/>
      <c r="J346" s="9" t="s">
        <v>21</v>
      </c>
      <c r="K346" s="9" t="s">
        <v>22</v>
      </c>
      <c r="L346" s="11" t="s">
        <v>23</v>
      </c>
      <c r="M346" s="11" t="s">
        <v>24</v>
      </c>
      <c r="N346" s="9" t="s">
        <v>25</v>
      </c>
      <c r="O346" s="14">
        <f t="shared" si="4"/>
        <v>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1.5" customHeight="1">
      <c r="A347" s="15">
        <v>343.0</v>
      </c>
      <c r="B347" s="10" t="s">
        <v>1025</v>
      </c>
      <c r="C347" s="11" t="s">
        <v>1026</v>
      </c>
      <c r="D347" s="12" t="s">
        <v>1027</v>
      </c>
      <c r="E347" s="12">
        <v>2020.0</v>
      </c>
      <c r="F347" s="13" t="s">
        <v>19</v>
      </c>
      <c r="G347" s="9"/>
      <c r="H347" s="11" t="s">
        <v>20</v>
      </c>
      <c r="I347" s="15"/>
      <c r="J347" s="9" t="s">
        <v>21</v>
      </c>
      <c r="K347" s="9" t="s">
        <v>22</v>
      </c>
      <c r="L347" s="11" t="s">
        <v>23</v>
      </c>
      <c r="M347" s="11" t="s">
        <v>24</v>
      </c>
      <c r="N347" s="9" t="s">
        <v>25</v>
      </c>
      <c r="O347" s="14">
        <f t="shared" si="4"/>
        <v>0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1.5" customHeight="1">
      <c r="A348" s="15">
        <v>344.0</v>
      </c>
      <c r="B348" s="10" t="s">
        <v>1028</v>
      </c>
      <c r="C348" s="11" t="s">
        <v>611</v>
      </c>
      <c r="D348" s="12" t="s">
        <v>1029</v>
      </c>
      <c r="E348" s="12">
        <v>2020.0</v>
      </c>
      <c r="F348" s="13" t="s">
        <v>19</v>
      </c>
      <c r="G348" s="9"/>
      <c r="H348" s="11" t="s">
        <v>20</v>
      </c>
      <c r="I348" s="15"/>
      <c r="J348" s="9" t="s">
        <v>21</v>
      </c>
      <c r="K348" s="9" t="s">
        <v>22</v>
      </c>
      <c r="L348" s="11" t="s">
        <v>23</v>
      </c>
      <c r="M348" s="11" t="s">
        <v>24</v>
      </c>
      <c r="N348" s="9" t="s">
        <v>25</v>
      </c>
      <c r="O348" s="14">
        <f t="shared" si="4"/>
        <v>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1.5" customHeight="1">
      <c r="A349" s="15">
        <v>345.0</v>
      </c>
      <c r="B349" s="10" t="s">
        <v>1030</v>
      </c>
      <c r="C349" s="11" t="s">
        <v>1031</v>
      </c>
      <c r="D349" s="12" t="s">
        <v>1032</v>
      </c>
      <c r="E349" s="12">
        <v>2020.0</v>
      </c>
      <c r="F349" s="13" t="s">
        <v>19</v>
      </c>
      <c r="G349" s="9"/>
      <c r="H349" s="11" t="s">
        <v>20</v>
      </c>
      <c r="I349" s="15"/>
      <c r="J349" s="9" t="s">
        <v>21</v>
      </c>
      <c r="K349" s="9" t="s">
        <v>22</v>
      </c>
      <c r="L349" s="11" t="s">
        <v>23</v>
      </c>
      <c r="M349" s="11" t="s">
        <v>24</v>
      </c>
      <c r="N349" s="9" t="s">
        <v>25</v>
      </c>
      <c r="O349" s="14">
        <f t="shared" si="4"/>
        <v>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1.5" customHeight="1">
      <c r="A350" s="15">
        <v>346.0</v>
      </c>
      <c r="B350" s="10" t="s">
        <v>1033</v>
      </c>
      <c r="C350" s="11" t="s">
        <v>1034</v>
      </c>
      <c r="D350" s="12" t="s">
        <v>1035</v>
      </c>
      <c r="E350" s="12">
        <v>2020.0</v>
      </c>
      <c r="F350" s="13" t="s">
        <v>19</v>
      </c>
      <c r="G350" s="9"/>
      <c r="H350" s="11" t="s">
        <v>20</v>
      </c>
      <c r="I350" s="15"/>
      <c r="J350" s="9" t="s">
        <v>21</v>
      </c>
      <c r="K350" s="9" t="s">
        <v>22</v>
      </c>
      <c r="L350" s="11" t="s">
        <v>23</v>
      </c>
      <c r="M350" s="11" t="s">
        <v>24</v>
      </c>
      <c r="N350" s="9" t="s">
        <v>25</v>
      </c>
      <c r="O350" s="14">
        <f t="shared" si="4"/>
        <v>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1.5" customHeight="1">
      <c r="A351" s="15">
        <v>347.0</v>
      </c>
      <c r="B351" s="10" t="s">
        <v>1036</v>
      </c>
      <c r="C351" s="11" t="s">
        <v>1009</v>
      </c>
      <c r="D351" s="12" t="s">
        <v>1037</v>
      </c>
      <c r="E351" s="12">
        <v>2020.0</v>
      </c>
      <c r="F351" s="13" t="s">
        <v>19</v>
      </c>
      <c r="G351" s="9"/>
      <c r="H351" s="11" t="s">
        <v>20</v>
      </c>
      <c r="I351" s="15"/>
      <c r="J351" s="9" t="s">
        <v>21</v>
      </c>
      <c r="K351" s="9" t="s">
        <v>22</v>
      </c>
      <c r="L351" s="11" t="s">
        <v>23</v>
      </c>
      <c r="M351" s="11" t="s">
        <v>24</v>
      </c>
      <c r="N351" s="9" t="s">
        <v>25</v>
      </c>
      <c r="O351" s="14">
        <f t="shared" si="4"/>
        <v>0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1.5" customHeight="1">
      <c r="A352" s="15">
        <v>348.0</v>
      </c>
      <c r="B352" s="10" t="s">
        <v>1038</v>
      </c>
      <c r="C352" s="11" t="s">
        <v>1039</v>
      </c>
      <c r="D352" s="12" t="s">
        <v>1040</v>
      </c>
      <c r="E352" s="12">
        <v>2020.0</v>
      </c>
      <c r="F352" s="13" t="s">
        <v>19</v>
      </c>
      <c r="G352" s="9"/>
      <c r="H352" s="11" t="s">
        <v>20</v>
      </c>
      <c r="I352" s="15"/>
      <c r="J352" s="9" t="s">
        <v>21</v>
      </c>
      <c r="K352" s="9" t="s">
        <v>22</v>
      </c>
      <c r="L352" s="11" t="s">
        <v>23</v>
      </c>
      <c r="M352" s="11" t="s">
        <v>24</v>
      </c>
      <c r="N352" s="9" t="s">
        <v>25</v>
      </c>
      <c r="O352" s="14">
        <f t="shared" si="4"/>
        <v>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1.5" customHeight="1">
      <c r="A353" s="15">
        <v>349.0</v>
      </c>
      <c r="B353" s="10" t="s">
        <v>1041</v>
      </c>
      <c r="C353" s="11" t="s">
        <v>99</v>
      </c>
      <c r="D353" s="12" t="s">
        <v>1042</v>
      </c>
      <c r="E353" s="12">
        <v>2020.0</v>
      </c>
      <c r="F353" s="13" t="s">
        <v>19</v>
      </c>
      <c r="G353" s="9"/>
      <c r="H353" s="11" t="s">
        <v>20</v>
      </c>
      <c r="I353" s="15"/>
      <c r="J353" s="9" t="s">
        <v>21</v>
      </c>
      <c r="K353" s="9" t="s">
        <v>22</v>
      </c>
      <c r="L353" s="11" t="s">
        <v>23</v>
      </c>
      <c r="M353" s="11" t="s">
        <v>24</v>
      </c>
      <c r="N353" s="9" t="s">
        <v>25</v>
      </c>
      <c r="O353" s="14">
        <f t="shared" si="4"/>
        <v>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1.5" customHeight="1">
      <c r="A354" s="15">
        <v>350.0</v>
      </c>
      <c r="B354" s="10" t="s">
        <v>1043</v>
      </c>
      <c r="C354" s="11" t="s">
        <v>1044</v>
      </c>
      <c r="D354" s="12" t="s">
        <v>1045</v>
      </c>
      <c r="E354" s="12">
        <v>2020.0</v>
      </c>
      <c r="F354" s="13" t="s">
        <v>19</v>
      </c>
      <c r="G354" s="9"/>
      <c r="H354" s="11" t="s">
        <v>20</v>
      </c>
      <c r="I354" s="15"/>
      <c r="J354" s="9" t="s">
        <v>21</v>
      </c>
      <c r="K354" s="9" t="s">
        <v>22</v>
      </c>
      <c r="L354" s="11" t="s">
        <v>23</v>
      </c>
      <c r="M354" s="11" t="s">
        <v>24</v>
      </c>
      <c r="N354" s="9" t="s">
        <v>25</v>
      </c>
      <c r="O354" s="14">
        <f t="shared" si="4"/>
        <v>0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1.5" customHeight="1">
      <c r="A355" s="15">
        <v>351.0</v>
      </c>
      <c r="B355" s="10" t="s">
        <v>1046</v>
      </c>
      <c r="C355" s="11" t="s">
        <v>1047</v>
      </c>
      <c r="D355" s="12" t="s">
        <v>1048</v>
      </c>
      <c r="E355" s="12">
        <v>2020.0</v>
      </c>
      <c r="F355" s="13" t="s">
        <v>19</v>
      </c>
      <c r="G355" s="9"/>
      <c r="H355" s="11" t="s">
        <v>20</v>
      </c>
      <c r="I355" s="15"/>
      <c r="J355" s="9" t="s">
        <v>21</v>
      </c>
      <c r="K355" s="9" t="s">
        <v>22</v>
      </c>
      <c r="L355" s="11" t="s">
        <v>23</v>
      </c>
      <c r="M355" s="11" t="s">
        <v>24</v>
      </c>
      <c r="N355" s="9" t="s">
        <v>25</v>
      </c>
      <c r="O355" s="14">
        <f t="shared" si="4"/>
        <v>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1.5" customHeight="1">
      <c r="A356" s="15">
        <v>352.0</v>
      </c>
      <c r="B356" s="10" t="s">
        <v>1049</v>
      </c>
      <c r="C356" s="11" t="s">
        <v>99</v>
      </c>
      <c r="D356" s="12" t="s">
        <v>1050</v>
      </c>
      <c r="E356" s="12">
        <v>2020.0</v>
      </c>
      <c r="F356" s="13" t="s">
        <v>19</v>
      </c>
      <c r="G356" s="9"/>
      <c r="H356" s="11" t="s">
        <v>20</v>
      </c>
      <c r="I356" s="15"/>
      <c r="J356" s="9" t="s">
        <v>21</v>
      </c>
      <c r="K356" s="9" t="s">
        <v>22</v>
      </c>
      <c r="L356" s="11" t="s">
        <v>23</v>
      </c>
      <c r="M356" s="11" t="s">
        <v>24</v>
      </c>
      <c r="N356" s="9" t="s">
        <v>25</v>
      </c>
      <c r="O356" s="14">
        <f t="shared" si="4"/>
        <v>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1.5" customHeight="1">
      <c r="A357" s="15">
        <v>353.0</v>
      </c>
      <c r="B357" s="10" t="s">
        <v>1051</v>
      </c>
      <c r="C357" s="11" t="s">
        <v>1052</v>
      </c>
      <c r="D357" s="12" t="s">
        <v>1053</v>
      </c>
      <c r="E357" s="12">
        <v>2020.0</v>
      </c>
      <c r="F357" s="13" t="s">
        <v>19</v>
      </c>
      <c r="G357" s="9"/>
      <c r="H357" s="11" t="s">
        <v>20</v>
      </c>
      <c r="I357" s="15"/>
      <c r="J357" s="9" t="s">
        <v>21</v>
      </c>
      <c r="K357" s="9" t="s">
        <v>22</v>
      </c>
      <c r="L357" s="11" t="s">
        <v>23</v>
      </c>
      <c r="M357" s="11" t="s">
        <v>24</v>
      </c>
      <c r="N357" s="9" t="s">
        <v>25</v>
      </c>
      <c r="O357" s="14">
        <f t="shared" si="4"/>
        <v>0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1.5" customHeight="1">
      <c r="A358" s="15">
        <v>354.0</v>
      </c>
      <c r="B358" s="10" t="s">
        <v>1054</v>
      </c>
      <c r="C358" s="11" t="s">
        <v>1055</v>
      </c>
      <c r="D358" s="12" t="s">
        <v>1056</v>
      </c>
      <c r="E358" s="12">
        <v>2020.0</v>
      </c>
      <c r="F358" s="13" t="s">
        <v>19</v>
      </c>
      <c r="G358" s="9"/>
      <c r="H358" s="11" t="s">
        <v>20</v>
      </c>
      <c r="I358" s="15"/>
      <c r="J358" s="9" t="s">
        <v>21</v>
      </c>
      <c r="K358" s="9" t="s">
        <v>22</v>
      </c>
      <c r="L358" s="11" t="s">
        <v>23</v>
      </c>
      <c r="M358" s="11" t="s">
        <v>24</v>
      </c>
      <c r="N358" s="9" t="s">
        <v>25</v>
      </c>
      <c r="O358" s="14">
        <f t="shared" si="4"/>
        <v>0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1.5" customHeight="1">
      <c r="A359" s="15">
        <v>355.0</v>
      </c>
      <c r="B359" s="10" t="s">
        <v>1057</v>
      </c>
      <c r="C359" s="11" t="s">
        <v>1058</v>
      </c>
      <c r="D359" s="12" t="s">
        <v>1059</v>
      </c>
      <c r="E359" s="12">
        <v>2020.0</v>
      </c>
      <c r="F359" s="13" t="s">
        <v>19</v>
      </c>
      <c r="G359" s="9"/>
      <c r="H359" s="11" t="s">
        <v>20</v>
      </c>
      <c r="I359" s="15"/>
      <c r="J359" s="9" t="s">
        <v>21</v>
      </c>
      <c r="K359" s="9" t="s">
        <v>22</v>
      </c>
      <c r="L359" s="11" t="s">
        <v>23</v>
      </c>
      <c r="M359" s="11" t="s">
        <v>24</v>
      </c>
      <c r="N359" s="9" t="s">
        <v>25</v>
      </c>
      <c r="O359" s="14">
        <f t="shared" si="4"/>
        <v>0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1.5" customHeight="1">
      <c r="A360" s="15">
        <v>356.0</v>
      </c>
      <c r="B360" s="10" t="s">
        <v>1060</v>
      </c>
      <c r="C360" s="11" t="s">
        <v>1061</v>
      </c>
      <c r="D360" s="12" t="s">
        <v>1062</v>
      </c>
      <c r="E360" s="12">
        <v>2020.0</v>
      </c>
      <c r="F360" s="13" t="s">
        <v>19</v>
      </c>
      <c r="G360" s="9"/>
      <c r="H360" s="11" t="s">
        <v>20</v>
      </c>
      <c r="I360" s="15"/>
      <c r="J360" s="9" t="s">
        <v>21</v>
      </c>
      <c r="K360" s="9" t="s">
        <v>22</v>
      </c>
      <c r="L360" s="11" t="s">
        <v>23</v>
      </c>
      <c r="M360" s="11" t="s">
        <v>24</v>
      </c>
      <c r="N360" s="9" t="s">
        <v>25</v>
      </c>
      <c r="O360" s="14">
        <f t="shared" si="4"/>
        <v>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1.5" customHeight="1">
      <c r="A361" s="15">
        <v>357.0</v>
      </c>
      <c r="B361" s="10" t="s">
        <v>1063</v>
      </c>
      <c r="C361" s="11" t="s">
        <v>1064</v>
      </c>
      <c r="D361" s="12" t="s">
        <v>1065</v>
      </c>
      <c r="E361" s="12">
        <v>2020.0</v>
      </c>
      <c r="F361" s="13" t="s">
        <v>19</v>
      </c>
      <c r="G361" s="9"/>
      <c r="H361" s="11" t="s">
        <v>20</v>
      </c>
      <c r="I361" s="15"/>
      <c r="J361" s="9" t="s">
        <v>21</v>
      </c>
      <c r="K361" s="9" t="s">
        <v>22</v>
      </c>
      <c r="L361" s="11" t="s">
        <v>23</v>
      </c>
      <c r="M361" s="11" t="s">
        <v>24</v>
      </c>
      <c r="N361" s="9" t="s">
        <v>25</v>
      </c>
      <c r="O361" s="14">
        <f t="shared" si="4"/>
        <v>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1.5" customHeight="1">
      <c r="A362" s="15">
        <v>358.0</v>
      </c>
      <c r="B362" s="10" t="s">
        <v>1066</v>
      </c>
      <c r="C362" s="11" t="s">
        <v>611</v>
      </c>
      <c r="D362" s="12" t="s">
        <v>1067</v>
      </c>
      <c r="E362" s="12">
        <v>2020.0</v>
      </c>
      <c r="F362" s="13" t="s">
        <v>19</v>
      </c>
      <c r="G362" s="9"/>
      <c r="H362" s="11" t="s">
        <v>20</v>
      </c>
      <c r="I362" s="15"/>
      <c r="J362" s="9" t="s">
        <v>21</v>
      </c>
      <c r="K362" s="9" t="s">
        <v>22</v>
      </c>
      <c r="L362" s="11" t="s">
        <v>23</v>
      </c>
      <c r="M362" s="11" t="s">
        <v>24</v>
      </c>
      <c r="N362" s="9" t="s">
        <v>25</v>
      </c>
      <c r="O362" s="14">
        <f t="shared" si="4"/>
        <v>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1.5" customHeight="1">
      <c r="A363" s="15">
        <v>359.0</v>
      </c>
      <c r="B363" s="10" t="s">
        <v>1068</v>
      </c>
      <c r="C363" s="11" t="s">
        <v>1069</v>
      </c>
      <c r="D363" s="12" t="s">
        <v>1070</v>
      </c>
      <c r="E363" s="12">
        <v>2020.0</v>
      </c>
      <c r="F363" s="13" t="s">
        <v>19</v>
      </c>
      <c r="G363" s="9"/>
      <c r="H363" s="11" t="s">
        <v>20</v>
      </c>
      <c r="I363" s="15"/>
      <c r="J363" s="9" t="s">
        <v>21</v>
      </c>
      <c r="K363" s="9" t="s">
        <v>22</v>
      </c>
      <c r="L363" s="11" t="s">
        <v>23</v>
      </c>
      <c r="M363" s="11" t="s">
        <v>24</v>
      </c>
      <c r="N363" s="9" t="s">
        <v>25</v>
      </c>
      <c r="O363" s="14">
        <f t="shared" si="4"/>
        <v>0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1.5" customHeight="1">
      <c r="A364" s="15">
        <v>360.0</v>
      </c>
      <c r="B364" s="10" t="s">
        <v>1071</v>
      </c>
      <c r="C364" s="11" t="s">
        <v>1072</v>
      </c>
      <c r="D364" s="12" t="s">
        <v>1073</v>
      </c>
      <c r="E364" s="12">
        <v>2020.0</v>
      </c>
      <c r="F364" s="13" t="s">
        <v>19</v>
      </c>
      <c r="G364" s="9"/>
      <c r="H364" s="11" t="s">
        <v>20</v>
      </c>
      <c r="I364" s="15"/>
      <c r="J364" s="9" t="s">
        <v>21</v>
      </c>
      <c r="K364" s="9" t="s">
        <v>22</v>
      </c>
      <c r="L364" s="11" t="s">
        <v>23</v>
      </c>
      <c r="M364" s="11" t="s">
        <v>24</v>
      </c>
      <c r="N364" s="9" t="s">
        <v>25</v>
      </c>
      <c r="O364" s="14">
        <f t="shared" si="4"/>
        <v>0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1.5" customHeight="1">
      <c r="A365" s="15">
        <v>361.0</v>
      </c>
      <c r="B365" s="10" t="s">
        <v>1074</v>
      </c>
      <c r="C365" s="11" t="s">
        <v>611</v>
      </c>
      <c r="D365" s="12" t="s">
        <v>1075</v>
      </c>
      <c r="E365" s="12">
        <v>2020.0</v>
      </c>
      <c r="F365" s="13" t="s">
        <v>19</v>
      </c>
      <c r="G365" s="9"/>
      <c r="H365" s="11" t="s">
        <v>20</v>
      </c>
      <c r="I365" s="15"/>
      <c r="J365" s="9" t="s">
        <v>21</v>
      </c>
      <c r="K365" s="9" t="s">
        <v>22</v>
      </c>
      <c r="L365" s="11" t="s">
        <v>23</v>
      </c>
      <c r="M365" s="11" t="s">
        <v>24</v>
      </c>
      <c r="N365" s="9" t="s">
        <v>25</v>
      </c>
      <c r="O365" s="14">
        <f t="shared" si="4"/>
        <v>0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1.5" customHeight="1">
      <c r="A366" s="15">
        <v>362.0</v>
      </c>
      <c r="B366" s="10" t="s">
        <v>1076</v>
      </c>
      <c r="C366" s="11" t="s">
        <v>1077</v>
      </c>
      <c r="D366" s="12" t="s">
        <v>1078</v>
      </c>
      <c r="E366" s="12">
        <v>2020.0</v>
      </c>
      <c r="F366" s="13" t="s">
        <v>19</v>
      </c>
      <c r="G366" s="9"/>
      <c r="H366" s="11" t="s">
        <v>20</v>
      </c>
      <c r="I366" s="15"/>
      <c r="J366" s="9" t="s">
        <v>21</v>
      </c>
      <c r="K366" s="9" t="s">
        <v>22</v>
      </c>
      <c r="L366" s="11" t="s">
        <v>23</v>
      </c>
      <c r="M366" s="11" t="s">
        <v>24</v>
      </c>
      <c r="N366" s="9" t="s">
        <v>25</v>
      </c>
      <c r="O366" s="14">
        <f t="shared" si="4"/>
        <v>0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1.5" customHeight="1">
      <c r="A367" s="15">
        <v>363.0</v>
      </c>
      <c r="B367" s="10" t="s">
        <v>1079</v>
      </c>
      <c r="C367" s="11" t="s">
        <v>611</v>
      </c>
      <c r="D367" s="12" t="s">
        <v>1080</v>
      </c>
      <c r="E367" s="12">
        <v>2020.0</v>
      </c>
      <c r="F367" s="13" t="s">
        <v>19</v>
      </c>
      <c r="G367" s="9"/>
      <c r="H367" s="11" t="s">
        <v>20</v>
      </c>
      <c r="I367" s="15"/>
      <c r="J367" s="9" t="s">
        <v>21</v>
      </c>
      <c r="K367" s="9" t="s">
        <v>22</v>
      </c>
      <c r="L367" s="11" t="s">
        <v>23</v>
      </c>
      <c r="M367" s="11" t="s">
        <v>24</v>
      </c>
      <c r="N367" s="9" t="s">
        <v>25</v>
      </c>
      <c r="O367" s="14">
        <f t="shared" si="4"/>
        <v>0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1.5" customHeight="1">
      <c r="A368" s="15">
        <v>364.0</v>
      </c>
      <c r="B368" s="10" t="s">
        <v>1081</v>
      </c>
      <c r="C368" s="11" t="s">
        <v>1082</v>
      </c>
      <c r="D368" s="12" t="s">
        <v>1083</v>
      </c>
      <c r="E368" s="12">
        <v>2020.0</v>
      </c>
      <c r="F368" s="13" t="s">
        <v>19</v>
      </c>
      <c r="G368" s="9"/>
      <c r="H368" s="11" t="s">
        <v>20</v>
      </c>
      <c r="I368" s="15"/>
      <c r="J368" s="9" t="s">
        <v>21</v>
      </c>
      <c r="K368" s="9" t="s">
        <v>22</v>
      </c>
      <c r="L368" s="11" t="s">
        <v>23</v>
      </c>
      <c r="M368" s="11" t="s">
        <v>24</v>
      </c>
      <c r="N368" s="9" t="s">
        <v>25</v>
      </c>
      <c r="O368" s="14">
        <f t="shared" si="4"/>
        <v>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1.5" customHeight="1">
      <c r="A369" s="15">
        <v>365.0</v>
      </c>
      <c r="B369" s="10" t="s">
        <v>1084</v>
      </c>
      <c r="C369" s="11" t="s">
        <v>1082</v>
      </c>
      <c r="D369" s="12" t="s">
        <v>1085</v>
      </c>
      <c r="E369" s="12">
        <v>2020.0</v>
      </c>
      <c r="F369" s="13" t="s">
        <v>19</v>
      </c>
      <c r="G369" s="9"/>
      <c r="H369" s="11" t="s">
        <v>20</v>
      </c>
      <c r="I369" s="15"/>
      <c r="J369" s="9" t="s">
        <v>21</v>
      </c>
      <c r="K369" s="9" t="s">
        <v>22</v>
      </c>
      <c r="L369" s="11" t="s">
        <v>23</v>
      </c>
      <c r="M369" s="11" t="s">
        <v>24</v>
      </c>
      <c r="N369" s="9" t="s">
        <v>25</v>
      </c>
      <c r="O369" s="14">
        <f t="shared" si="4"/>
        <v>0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1.5" customHeight="1">
      <c r="A370" s="15">
        <v>366.0</v>
      </c>
      <c r="B370" s="10" t="s">
        <v>1086</v>
      </c>
      <c r="C370" s="11" t="s">
        <v>1087</v>
      </c>
      <c r="D370" s="12" t="s">
        <v>1088</v>
      </c>
      <c r="E370" s="12">
        <v>2020.0</v>
      </c>
      <c r="F370" s="13" t="s">
        <v>19</v>
      </c>
      <c r="G370" s="9"/>
      <c r="H370" s="11" t="s">
        <v>20</v>
      </c>
      <c r="I370" s="15"/>
      <c r="J370" s="9" t="s">
        <v>21</v>
      </c>
      <c r="K370" s="9" t="s">
        <v>22</v>
      </c>
      <c r="L370" s="11" t="s">
        <v>23</v>
      </c>
      <c r="M370" s="11" t="s">
        <v>24</v>
      </c>
      <c r="N370" s="9" t="s">
        <v>25</v>
      </c>
      <c r="O370" s="14">
        <f t="shared" si="4"/>
        <v>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1.5" customHeight="1">
      <c r="A371" s="15">
        <v>367.0</v>
      </c>
      <c r="B371" s="10" t="s">
        <v>1089</v>
      </c>
      <c r="C371" s="11" t="s">
        <v>1077</v>
      </c>
      <c r="D371" s="12" t="s">
        <v>1090</v>
      </c>
      <c r="E371" s="12">
        <v>2020.0</v>
      </c>
      <c r="F371" s="13" t="s">
        <v>19</v>
      </c>
      <c r="G371" s="9"/>
      <c r="H371" s="11" t="s">
        <v>20</v>
      </c>
      <c r="I371" s="15"/>
      <c r="J371" s="9" t="s">
        <v>21</v>
      </c>
      <c r="K371" s="9" t="s">
        <v>22</v>
      </c>
      <c r="L371" s="11" t="s">
        <v>23</v>
      </c>
      <c r="M371" s="11" t="s">
        <v>24</v>
      </c>
      <c r="N371" s="9" t="s">
        <v>25</v>
      </c>
      <c r="O371" s="14">
        <f t="shared" si="4"/>
        <v>0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1.5" customHeight="1">
      <c r="A372" s="15">
        <v>368.0</v>
      </c>
      <c r="B372" s="10" t="s">
        <v>1091</v>
      </c>
      <c r="C372" s="11" t="s">
        <v>1092</v>
      </c>
      <c r="D372" s="12" t="s">
        <v>1093</v>
      </c>
      <c r="E372" s="12">
        <v>2020.0</v>
      </c>
      <c r="F372" s="13" t="s">
        <v>19</v>
      </c>
      <c r="G372" s="9"/>
      <c r="H372" s="11" t="s">
        <v>20</v>
      </c>
      <c r="I372" s="15"/>
      <c r="J372" s="9" t="s">
        <v>21</v>
      </c>
      <c r="K372" s="9" t="s">
        <v>22</v>
      </c>
      <c r="L372" s="11" t="s">
        <v>23</v>
      </c>
      <c r="M372" s="11" t="s">
        <v>24</v>
      </c>
      <c r="N372" s="9" t="s">
        <v>25</v>
      </c>
      <c r="O372" s="14">
        <f t="shared" si="4"/>
        <v>0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1.5" customHeight="1">
      <c r="A373" s="15">
        <v>369.0</v>
      </c>
      <c r="B373" s="10" t="s">
        <v>1094</v>
      </c>
      <c r="C373" s="11" t="s">
        <v>1095</v>
      </c>
      <c r="D373" s="12" t="s">
        <v>1096</v>
      </c>
      <c r="E373" s="12">
        <v>2020.0</v>
      </c>
      <c r="F373" s="13" t="s">
        <v>19</v>
      </c>
      <c r="G373" s="9"/>
      <c r="H373" s="11" t="s">
        <v>20</v>
      </c>
      <c r="I373" s="15"/>
      <c r="J373" s="9" t="s">
        <v>21</v>
      </c>
      <c r="K373" s="9" t="s">
        <v>22</v>
      </c>
      <c r="L373" s="11" t="s">
        <v>23</v>
      </c>
      <c r="M373" s="11" t="s">
        <v>24</v>
      </c>
      <c r="N373" s="9" t="s">
        <v>25</v>
      </c>
      <c r="O373" s="14">
        <f t="shared" si="4"/>
        <v>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1.5" customHeight="1">
      <c r="A374" s="15">
        <v>370.0</v>
      </c>
      <c r="B374" s="10" t="s">
        <v>1097</v>
      </c>
      <c r="C374" s="11" t="s">
        <v>611</v>
      </c>
      <c r="D374" s="12" t="s">
        <v>1098</v>
      </c>
      <c r="E374" s="12">
        <v>2020.0</v>
      </c>
      <c r="F374" s="13" t="s">
        <v>19</v>
      </c>
      <c r="G374" s="9"/>
      <c r="H374" s="11" t="s">
        <v>20</v>
      </c>
      <c r="I374" s="15"/>
      <c r="J374" s="9" t="s">
        <v>21</v>
      </c>
      <c r="K374" s="9" t="s">
        <v>22</v>
      </c>
      <c r="L374" s="11" t="s">
        <v>23</v>
      </c>
      <c r="M374" s="11" t="s">
        <v>24</v>
      </c>
      <c r="N374" s="9" t="s">
        <v>25</v>
      </c>
      <c r="O374" s="14">
        <f t="shared" si="4"/>
        <v>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1.5" customHeight="1">
      <c r="A375" s="15">
        <v>371.0</v>
      </c>
      <c r="B375" s="10" t="s">
        <v>1099</v>
      </c>
      <c r="C375" s="11" t="s">
        <v>1100</v>
      </c>
      <c r="D375" s="12" t="s">
        <v>1101</v>
      </c>
      <c r="E375" s="12">
        <v>2020.0</v>
      </c>
      <c r="F375" s="13" t="s">
        <v>19</v>
      </c>
      <c r="G375" s="9"/>
      <c r="H375" s="11" t="s">
        <v>20</v>
      </c>
      <c r="I375" s="15"/>
      <c r="J375" s="9" t="s">
        <v>21</v>
      </c>
      <c r="K375" s="9" t="s">
        <v>22</v>
      </c>
      <c r="L375" s="11" t="s">
        <v>23</v>
      </c>
      <c r="M375" s="11" t="s">
        <v>24</v>
      </c>
      <c r="N375" s="9" t="s">
        <v>25</v>
      </c>
      <c r="O375" s="14">
        <f t="shared" si="4"/>
        <v>0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1.5" customHeight="1">
      <c r="A376" s="15">
        <v>372.0</v>
      </c>
      <c r="B376" s="10" t="s">
        <v>1102</v>
      </c>
      <c r="C376" s="11" t="s">
        <v>1103</v>
      </c>
      <c r="D376" s="12" t="s">
        <v>1104</v>
      </c>
      <c r="E376" s="12">
        <v>2020.0</v>
      </c>
      <c r="F376" s="13" t="s">
        <v>19</v>
      </c>
      <c r="G376" s="9"/>
      <c r="H376" s="11" t="s">
        <v>20</v>
      </c>
      <c r="I376" s="15"/>
      <c r="J376" s="9" t="s">
        <v>21</v>
      </c>
      <c r="K376" s="9" t="s">
        <v>22</v>
      </c>
      <c r="L376" s="11" t="s">
        <v>23</v>
      </c>
      <c r="M376" s="11" t="s">
        <v>24</v>
      </c>
      <c r="N376" s="9" t="s">
        <v>25</v>
      </c>
      <c r="O376" s="14">
        <f t="shared" si="4"/>
        <v>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1.5" customHeight="1">
      <c r="A377" s="15">
        <v>373.0</v>
      </c>
      <c r="B377" s="10" t="s">
        <v>1105</v>
      </c>
      <c r="C377" s="11" t="s">
        <v>1106</v>
      </c>
      <c r="D377" s="12" t="s">
        <v>1107</v>
      </c>
      <c r="E377" s="12">
        <v>2020.0</v>
      </c>
      <c r="F377" s="13" t="s">
        <v>19</v>
      </c>
      <c r="G377" s="9"/>
      <c r="H377" s="11" t="s">
        <v>20</v>
      </c>
      <c r="I377" s="15"/>
      <c r="J377" s="9" t="s">
        <v>21</v>
      </c>
      <c r="K377" s="9" t="s">
        <v>22</v>
      </c>
      <c r="L377" s="11" t="s">
        <v>23</v>
      </c>
      <c r="M377" s="11" t="s">
        <v>24</v>
      </c>
      <c r="N377" s="9" t="s">
        <v>25</v>
      </c>
      <c r="O377" s="14">
        <f t="shared" si="4"/>
        <v>0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1.5" customHeight="1">
      <c r="A378" s="15">
        <v>374.0</v>
      </c>
      <c r="B378" s="10" t="s">
        <v>1108</v>
      </c>
      <c r="C378" s="11" t="s">
        <v>1109</v>
      </c>
      <c r="D378" s="12" t="s">
        <v>1110</v>
      </c>
      <c r="E378" s="12">
        <v>2019.0</v>
      </c>
      <c r="F378" s="13" t="s">
        <v>19</v>
      </c>
      <c r="G378" s="9"/>
      <c r="H378" s="11" t="s">
        <v>20</v>
      </c>
      <c r="I378" s="15"/>
      <c r="J378" s="9" t="s">
        <v>21</v>
      </c>
      <c r="K378" s="9" t="s">
        <v>22</v>
      </c>
      <c r="L378" s="11" t="s">
        <v>23</v>
      </c>
      <c r="M378" s="11" t="s">
        <v>24</v>
      </c>
      <c r="N378" s="9" t="s">
        <v>25</v>
      </c>
      <c r="O378" s="14">
        <f t="shared" si="4"/>
        <v>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1.5" customHeight="1">
      <c r="A379" s="15">
        <v>375.0</v>
      </c>
      <c r="B379" s="10" t="s">
        <v>1111</v>
      </c>
      <c r="C379" s="11" t="s">
        <v>1112</v>
      </c>
      <c r="D379" s="12" t="s">
        <v>1113</v>
      </c>
      <c r="E379" s="12">
        <v>2020.0</v>
      </c>
      <c r="F379" s="13" t="s">
        <v>19</v>
      </c>
      <c r="G379" s="9"/>
      <c r="H379" s="11" t="s">
        <v>20</v>
      </c>
      <c r="I379" s="15"/>
      <c r="J379" s="9" t="s">
        <v>21</v>
      </c>
      <c r="K379" s="9" t="s">
        <v>22</v>
      </c>
      <c r="L379" s="11" t="s">
        <v>23</v>
      </c>
      <c r="M379" s="11" t="s">
        <v>24</v>
      </c>
      <c r="N379" s="9" t="s">
        <v>25</v>
      </c>
      <c r="O379" s="14">
        <f t="shared" si="4"/>
        <v>0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1.5" customHeight="1">
      <c r="A380" s="15">
        <v>376.0</v>
      </c>
      <c r="B380" s="10" t="s">
        <v>1114</v>
      </c>
      <c r="C380" s="11" t="s">
        <v>1115</v>
      </c>
      <c r="D380" s="12" t="s">
        <v>1116</v>
      </c>
      <c r="E380" s="12">
        <v>2020.0</v>
      </c>
      <c r="F380" s="13" t="s">
        <v>19</v>
      </c>
      <c r="G380" s="9"/>
      <c r="H380" s="11" t="s">
        <v>20</v>
      </c>
      <c r="I380" s="15"/>
      <c r="J380" s="9" t="s">
        <v>21</v>
      </c>
      <c r="K380" s="9" t="s">
        <v>22</v>
      </c>
      <c r="L380" s="11" t="s">
        <v>23</v>
      </c>
      <c r="M380" s="11" t="s">
        <v>24</v>
      </c>
      <c r="N380" s="9" t="s">
        <v>25</v>
      </c>
      <c r="O380" s="14">
        <f t="shared" si="4"/>
        <v>0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1.5" customHeight="1">
      <c r="A381" s="15">
        <v>377.0</v>
      </c>
      <c r="B381" s="10" t="s">
        <v>1117</v>
      </c>
      <c r="C381" s="11" t="s">
        <v>1118</v>
      </c>
      <c r="D381" s="12" t="s">
        <v>1119</v>
      </c>
      <c r="E381" s="12">
        <v>2020.0</v>
      </c>
      <c r="F381" s="13" t="s">
        <v>19</v>
      </c>
      <c r="G381" s="9"/>
      <c r="H381" s="11" t="s">
        <v>20</v>
      </c>
      <c r="I381" s="15"/>
      <c r="J381" s="9" t="s">
        <v>21</v>
      </c>
      <c r="K381" s="9" t="s">
        <v>22</v>
      </c>
      <c r="L381" s="11" t="s">
        <v>23</v>
      </c>
      <c r="M381" s="11" t="s">
        <v>24</v>
      </c>
      <c r="N381" s="9" t="s">
        <v>25</v>
      </c>
      <c r="O381" s="14">
        <f t="shared" si="4"/>
        <v>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1.5" customHeight="1">
      <c r="A382" s="15">
        <v>378.0</v>
      </c>
      <c r="B382" s="10" t="s">
        <v>1120</v>
      </c>
      <c r="C382" s="11" t="s">
        <v>1121</v>
      </c>
      <c r="D382" s="12" t="s">
        <v>1122</v>
      </c>
      <c r="E382" s="12">
        <v>2020.0</v>
      </c>
      <c r="F382" s="13" t="s">
        <v>19</v>
      </c>
      <c r="G382" s="9"/>
      <c r="H382" s="11" t="s">
        <v>20</v>
      </c>
      <c r="I382" s="15"/>
      <c r="J382" s="9" t="s">
        <v>21</v>
      </c>
      <c r="K382" s="9" t="s">
        <v>22</v>
      </c>
      <c r="L382" s="11" t="s">
        <v>23</v>
      </c>
      <c r="M382" s="11" t="s">
        <v>24</v>
      </c>
      <c r="N382" s="9" t="s">
        <v>25</v>
      </c>
      <c r="O382" s="14">
        <f t="shared" si="4"/>
        <v>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1.5" customHeight="1">
      <c r="A383" s="15">
        <v>379.0</v>
      </c>
      <c r="B383" s="10" t="s">
        <v>1123</v>
      </c>
      <c r="C383" s="11" t="s">
        <v>1124</v>
      </c>
      <c r="D383" s="12" t="s">
        <v>1125</v>
      </c>
      <c r="E383" s="12">
        <v>2020.0</v>
      </c>
      <c r="F383" s="13" t="s">
        <v>19</v>
      </c>
      <c r="G383" s="9"/>
      <c r="H383" s="11" t="s">
        <v>20</v>
      </c>
      <c r="I383" s="15"/>
      <c r="J383" s="9" t="s">
        <v>21</v>
      </c>
      <c r="K383" s="9" t="s">
        <v>22</v>
      </c>
      <c r="L383" s="11" t="s">
        <v>23</v>
      </c>
      <c r="M383" s="11" t="s">
        <v>24</v>
      </c>
      <c r="N383" s="9" t="s">
        <v>25</v>
      </c>
      <c r="O383" s="14">
        <f t="shared" si="4"/>
        <v>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1.5" customHeight="1">
      <c r="A384" s="15">
        <v>380.0</v>
      </c>
      <c r="B384" s="10" t="s">
        <v>1126</v>
      </c>
      <c r="C384" s="11" t="s">
        <v>1127</v>
      </c>
      <c r="D384" s="12" t="s">
        <v>1128</v>
      </c>
      <c r="E384" s="12">
        <v>2020.0</v>
      </c>
      <c r="F384" s="13" t="s">
        <v>19</v>
      </c>
      <c r="G384" s="9"/>
      <c r="H384" s="11" t="s">
        <v>20</v>
      </c>
      <c r="I384" s="15"/>
      <c r="J384" s="9" t="s">
        <v>21</v>
      </c>
      <c r="K384" s="9" t="s">
        <v>22</v>
      </c>
      <c r="L384" s="11" t="s">
        <v>23</v>
      </c>
      <c r="M384" s="11" t="s">
        <v>24</v>
      </c>
      <c r="N384" s="9" t="s">
        <v>25</v>
      </c>
      <c r="O384" s="14">
        <f t="shared" si="4"/>
        <v>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1.5" customHeight="1">
      <c r="A385" s="15">
        <v>381.0</v>
      </c>
      <c r="B385" s="10" t="s">
        <v>1129</v>
      </c>
      <c r="C385" s="11" t="s">
        <v>1130</v>
      </c>
      <c r="D385" s="12" t="s">
        <v>1131</v>
      </c>
      <c r="E385" s="12">
        <v>2020.0</v>
      </c>
      <c r="F385" s="13" t="s">
        <v>19</v>
      </c>
      <c r="G385" s="9"/>
      <c r="H385" s="11" t="s">
        <v>20</v>
      </c>
      <c r="I385" s="15"/>
      <c r="J385" s="9" t="s">
        <v>21</v>
      </c>
      <c r="K385" s="9" t="s">
        <v>22</v>
      </c>
      <c r="L385" s="11" t="s">
        <v>23</v>
      </c>
      <c r="M385" s="11" t="s">
        <v>24</v>
      </c>
      <c r="N385" s="9" t="s">
        <v>25</v>
      </c>
      <c r="O385" s="14">
        <f t="shared" si="4"/>
        <v>0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1.5" customHeight="1">
      <c r="A386" s="15">
        <v>382.0</v>
      </c>
      <c r="B386" s="10" t="s">
        <v>1132</v>
      </c>
      <c r="C386" s="11" t="s">
        <v>1133</v>
      </c>
      <c r="D386" s="12" t="s">
        <v>1134</v>
      </c>
      <c r="E386" s="12">
        <v>2020.0</v>
      </c>
      <c r="F386" s="13" t="s">
        <v>19</v>
      </c>
      <c r="G386" s="9"/>
      <c r="H386" s="11" t="s">
        <v>20</v>
      </c>
      <c r="I386" s="15"/>
      <c r="J386" s="9" t="s">
        <v>21</v>
      </c>
      <c r="K386" s="9" t="s">
        <v>22</v>
      </c>
      <c r="L386" s="11" t="s">
        <v>23</v>
      </c>
      <c r="M386" s="11" t="s">
        <v>24</v>
      </c>
      <c r="N386" s="9" t="s">
        <v>25</v>
      </c>
      <c r="O386" s="14">
        <f t="shared" si="4"/>
        <v>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1.5" customHeight="1">
      <c r="A387" s="15">
        <v>383.0</v>
      </c>
      <c r="B387" s="10" t="s">
        <v>1135</v>
      </c>
      <c r="C387" s="11" t="s">
        <v>1136</v>
      </c>
      <c r="D387" s="12" t="s">
        <v>1137</v>
      </c>
      <c r="E387" s="12">
        <v>2020.0</v>
      </c>
      <c r="F387" s="13" t="s">
        <v>19</v>
      </c>
      <c r="G387" s="9"/>
      <c r="H387" s="11" t="s">
        <v>20</v>
      </c>
      <c r="I387" s="15"/>
      <c r="J387" s="9" t="s">
        <v>21</v>
      </c>
      <c r="K387" s="9" t="s">
        <v>22</v>
      </c>
      <c r="L387" s="11" t="s">
        <v>23</v>
      </c>
      <c r="M387" s="11" t="s">
        <v>24</v>
      </c>
      <c r="N387" s="9" t="s">
        <v>25</v>
      </c>
      <c r="O387" s="14">
        <f t="shared" si="4"/>
        <v>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1.5" customHeight="1">
      <c r="A388" s="15">
        <v>384.0</v>
      </c>
      <c r="B388" s="10" t="s">
        <v>1138</v>
      </c>
      <c r="C388" s="11" t="s">
        <v>1139</v>
      </c>
      <c r="D388" s="12" t="s">
        <v>1140</v>
      </c>
      <c r="E388" s="12">
        <v>2019.0</v>
      </c>
      <c r="F388" s="13" t="s">
        <v>19</v>
      </c>
      <c r="G388" s="9"/>
      <c r="H388" s="11" t="s">
        <v>20</v>
      </c>
      <c r="I388" s="15"/>
      <c r="J388" s="9" t="s">
        <v>21</v>
      </c>
      <c r="K388" s="9" t="s">
        <v>22</v>
      </c>
      <c r="L388" s="11" t="s">
        <v>23</v>
      </c>
      <c r="M388" s="11" t="s">
        <v>24</v>
      </c>
      <c r="N388" s="9" t="s">
        <v>25</v>
      </c>
      <c r="O388" s="14">
        <f t="shared" si="4"/>
        <v>0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1.5" customHeight="1">
      <c r="A389" s="15">
        <v>385.0</v>
      </c>
      <c r="B389" s="10" t="s">
        <v>1141</v>
      </c>
      <c r="C389" s="11" t="s">
        <v>1142</v>
      </c>
      <c r="D389" s="12" t="s">
        <v>1143</v>
      </c>
      <c r="E389" s="12">
        <v>2020.0</v>
      </c>
      <c r="F389" s="13" t="s">
        <v>19</v>
      </c>
      <c r="G389" s="9"/>
      <c r="H389" s="11" t="s">
        <v>20</v>
      </c>
      <c r="I389" s="15"/>
      <c r="J389" s="9" t="s">
        <v>21</v>
      </c>
      <c r="K389" s="9" t="s">
        <v>22</v>
      </c>
      <c r="L389" s="11" t="s">
        <v>23</v>
      </c>
      <c r="M389" s="11" t="s">
        <v>24</v>
      </c>
      <c r="N389" s="9" t="s">
        <v>25</v>
      </c>
      <c r="O389" s="14">
        <f t="shared" si="4"/>
        <v>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1.5" customHeight="1">
      <c r="A390" s="15">
        <v>386.0</v>
      </c>
      <c r="B390" s="10" t="s">
        <v>1144</v>
      </c>
      <c r="C390" s="11" t="s">
        <v>1145</v>
      </c>
      <c r="D390" s="12" t="s">
        <v>1146</v>
      </c>
      <c r="E390" s="12">
        <v>2020.0</v>
      </c>
      <c r="F390" s="13" t="s">
        <v>19</v>
      </c>
      <c r="G390" s="9"/>
      <c r="H390" s="11" t="s">
        <v>20</v>
      </c>
      <c r="I390" s="15"/>
      <c r="J390" s="9" t="s">
        <v>21</v>
      </c>
      <c r="K390" s="9" t="s">
        <v>22</v>
      </c>
      <c r="L390" s="11" t="s">
        <v>23</v>
      </c>
      <c r="M390" s="11" t="s">
        <v>24</v>
      </c>
      <c r="N390" s="9" t="s">
        <v>25</v>
      </c>
      <c r="O390" s="14">
        <f t="shared" si="4"/>
        <v>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1.5" customHeight="1">
      <c r="A391" s="15">
        <v>387.0</v>
      </c>
      <c r="B391" s="10" t="s">
        <v>1147</v>
      </c>
      <c r="C391" s="11" t="s">
        <v>991</v>
      </c>
      <c r="D391" s="12" t="s">
        <v>1148</v>
      </c>
      <c r="E391" s="12">
        <v>2020.0</v>
      </c>
      <c r="F391" s="13" t="s">
        <v>19</v>
      </c>
      <c r="G391" s="9"/>
      <c r="H391" s="11" t="s">
        <v>20</v>
      </c>
      <c r="I391" s="15"/>
      <c r="J391" s="9" t="s">
        <v>21</v>
      </c>
      <c r="K391" s="9" t="s">
        <v>22</v>
      </c>
      <c r="L391" s="11" t="s">
        <v>23</v>
      </c>
      <c r="M391" s="11" t="s">
        <v>24</v>
      </c>
      <c r="N391" s="9" t="s">
        <v>25</v>
      </c>
      <c r="O391" s="14">
        <f t="shared" si="4"/>
        <v>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1.5" customHeight="1">
      <c r="A392" s="15">
        <v>388.0</v>
      </c>
      <c r="B392" s="10" t="s">
        <v>1149</v>
      </c>
      <c r="C392" s="11" t="s">
        <v>1150</v>
      </c>
      <c r="D392" s="12" t="s">
        <v>1151</v>
      </c>
      <c r="E392" s="12">
        <v>2020.0</v>
      </c>
      <c r="F392" s="13" t="s">
        <v>19</v>
      </c>
      <c r="G392" s="9"/>
      <c r="H392" s="11" t="s">
        <v>20</v>
      </c>
      <c r="I392" s="15"/>
      <c r="J392" s="9" t="s">
        <v>21</v>
      </c>
      <c r="K392" s="9" t="s">
        <v>22</v>
      </c>
      <c r="L392" s="11" t="s">
        <v>23</v>
      </c>
      <c r="M392" s="11" t="s">
        <v>24</v>
      </c>
      <c r="N392" s="9" t="s">
        <v>25</v>
      </c>
      <c r="O392" s="14">
        <f t="shared" si="4"/>
        <v>0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1.5" customHeight="1">
      <c r="A393" s="15">
        <v>389.0</v>
      </c>
      <c r="B393" s="10" t="s">
        <v>1152</v>
      </c>
      <c r="C393" s="11" t="s">
        <v>1153</v>
      </c>
      <c r="D393" s="12" t="s">
        <v>1154</v>
      </c>
      <c r="E393" s="12">
        <v>2020.0</v>
      </c>
      <c r="F393" s="13" t="s">
        <v>19</v>
      </c>
      <c r="G393" s="9"/>
      <c r="H393" s="11" t="s">
        <v>20</v>
      </c>
      <c r="I393" s="15"/>
      <c r="J393" s="9" t="s">
        <v>21</v>
      </c>
      <c r="K393" s="9" t="s">
        <v>22</v>
      </c>
      <c r="L393" s="11" t="s">
        <v>23</v>
      </c>
      <c r="M393" s="11" t="s">
        <v>24</v>
      </c>
      <c r="N393" s="9" t="s">
        <v>25</v>
      </c>
      <c r="O393" s="14">
        <f t="shared" si="4"/>
        <v>0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1.5" customHeight="1">
      <c r="A394" s="15">
        <v>390.0</v>
      </c>
      <c r="B394" s="10" t="s">
        <v>1155</v>
      </c>
      <c r="C394" s="11" t="s">
        <v>1156</v>
      </c>
      <c r="D394" s="12" t="s">
        <v>1157</v>
      </c>
      <c r="E394" s="12">
        <v>2019.0</v>
      </c>
      <c r="F394" s="13" t="s">
        <v>19</v>
      </c>
      <c r="G394" s="9"/>
      <c r="H394" s="11" t="s">
        <v>20</v>
      </c>
      <c r="I394" s="15"/>
      <c r="J394" s="9" t="s">
        <v>21</v>
      </c>
      <c r="K394" s="9" t="s">
        <v>22</v>
      </c>
      <c r="L394" s="11" t="s">
        <v>23</v>
      </c>
      <c r="M394" s="11" t="s">
        <v>24</v>
      </c>
      <c r="N394" s="9" t="s">
        <v>25</v>
      </c>
      <c r="O394" s="14">
        <f t="shared" si="4"/>
        <v>0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1.5" customHeight="1">
      <c r="A395" s="15">
        <v>391.0</v>
      </c>
      <c r="B395" s="10" t="s">
        <v>1158</v>
      </c>
      <c r="C395" s="11" t="s">
        <v>1159</v>
      </c>
      <c r="D395" s="12" t="s">
        <v>1160</v>
      </c>
      <c r="E395" s="12">
        <v>2019.0</v>
      </c>
      <c r="F395" s="13" t="s">
        <v>19</v>
      </c>
      <c r="G395" s="9"/>
      <c r="H395" s="11" t="s">
        <v>20</v>
      </c>
      <c r="I395" s="15"/>
      <c r="J395" s="9" t="s">
        <v>21</v>
      </c>
      <c r="K395" s="9" t="s">
        <v>22</v>
      </c>
      <c r="L395" s="11" t="s">
        <v>23</v>
      </c>
      <c r="M395" s="11" t="s">
        <v>24</v>
      </c>
      <c r="N395" s="9" t="s">
        <v>25</v>
      </c>
      <c r="O395" s="14">
        <f t="shared" si="4"/>
        <v>0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1.5" customHeight="1">
      <c r="A396" s="15">
        <v>392.0</v>
      </c>
      <c r="B396" s="10" t="s">
        <v>1161</v>
      </c>
      <c r="C396" s="11" t="s">
        <v>1162</v>
      </c>
      <c r="D396" s="12" t="s">
        <v>1163</v>
      </c>
      <c r="E396" s="12">
        <v>2020.0</v>
      </c>
      <c r="F396" s="13" t="s">
        <v>19</v>
      </c>
      <c r="G396" s="9"/>
      <c r="H396" s="11" t="s">
        <v>20</v>
      </c>
      <c r="I396" s="15"/>
      <c r="J396" s="9" t="s">
        <v>21</v>
      </c>
      <c r="K396" s="9" t="s">
        <v>22</v>
      </c>
      <c r="L396" s="11" t="s">
        <v>23</v>
      </c>
      <c r="M396" s="11" t="s">
        <v>24</v>
      </c>
      <c r="N396" s="9" t="s">
        <v>25</v>
      </c>
      <c r="O396" s="14">
        <f t="shared" si="4"/>
        <v>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1.5" customHeight="1">
      <c r="A397" s="15">
        <v>393.0</v>
      </c>
      <c r="B397" s="10" t="s">
        <v>1164</v>
      </c>
      <c r="C397" s="11" t="s">
        <v>1165</v>
      </c>
      <c r="D397" s="12" t="s">
        <v>1166</v>
      </c>
      <c r="E397" s="12">
        <v>2020.0</v>
      </c>
      <c r="F397" s="13" t="s">
        <v>19</v>
      </c>
      <c r="G397" s="9"/>
      <c r="H397" s="11" t="s">
        <v>20</v>
      </c>
      <c r="I397" s="15"/>
      <c r="J397" s="9" t="s">
        <v>21</v>
      </c>
      <c r="K397" s="9" t="s">
        <v>22</v>
      </c>
      <c r="L397" s="11" t="s">
        <v>23</v>
      </c>
      <c r="M397" s="11" t="s">
        <v>24</v>
      </c>
      <c r="N397" s="9" t="s">
        <v>25</v>
      </c>
      <c r="O397" s="14">
        <f t="shared" si="4"/>
        <v>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1.5" customHeight="1">
      <c r="A398" s="15">
        <v>394.0</v>
      </c>
      <c r="B398" s="10" t="s">
        <v>1167</v>
      </c>
      <c r="C398" s="11" t="s">
        <v>1168</v>
      </c>
      <c r="D398" s="12" t="s">
        <v>1169</v>
      </c>
      <c r="E398" s="12">
        <v>2020.0</v>
      </c>
      <c r="F398" s="13" t="s">
        <v>19</v>
      </c>
      <c r="G398" s="9"/>
      <c r="H398" s="11" t="s">
        <v>20</v>
      </c>
      <c r="I398" s="15"/>
      <c r="J398" s="9" t="s">
        <v>21</v>
      </c>
      <c r="K398" s="9" t="s">
        <v>22</v>
      </c>
      <c r="L398" s="11" t="s">
        <v>23</v>
      </c>
      <c r="M398" s="11" t="s">
        <v>24</v>
      </c>
      <c r="N398" s="9" t="s">
        <v>25</v>
      </c>
      <c r="O398" s="14">
        <f t="shared" si="4"/>
        <v>0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1.5" customHeight="1">
      <c r="A399" s="15">
        <v>395.0</v>
      </c>
      <c r="B399" s="10" t="s">
        <v>1170</v>
      </c>
      <c r="C399" s="11" t="s">
        <v>1171</v>
      </c>
      <c r="D399" s="12" t="s">
        <v>1172</v>
      </c>
      <c r="E399" s="12">
        <v>2019.0</v>
      </c>
      <c r="F399" s="13" t="s">
        <v>19</v>
      </c>
      <c r="G399" s="9"/>
      <c r="H399" s="11" t="s">
        <v>20</v>
      </c>
      <c r="I399" s="15"/>
      <c r="J399" s="9" t="s">
        <v>21</v>
      </c>
      <c r="K399" s="9" t="s">
        <v>22</v>
      </c>
      <c r="L399" s="11" t="s">
        <v>23</v>
      </c>
      <c r="M399" s="11" t="s">
        <v>24</v>
      </c>
      <c r="N399" s="9" t="s">
        <v>25</v>
      </c>
      <c r="O399" s="14">
        <f t="shared" si="4"/>
        <v>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1.5" customHeight="1">
      <c r="A400" s="15">
        <v>396.0</v>
      </c>
      <c r="B400" s="10" t="s">
        <v>1173</v>
      </c>
      <c r="C400" s="11" t="s">
        <v>1174</v>
      </c>
      <c r="D400" s="12" t="s">
        <v>1175</v>
      </c>
      <c r="E400" s="12">
        <v>2019.0</v>
      </c>
      <c r="F400" s="13" t="s">
        <v>19</v>
      </c>
      <c r="G400" s="9"/>
      <c r="H400" s="11" t="s">
        <v>20</v>
      </c>
      <c r="I400" s="15"/>
      <c r="J400" s="9" t="s">
        <v>21</v>
      </c>
      <c r="K400" s="9" t="s">
        <v>22</v>
      </c>
      <c r="L400" s="11" t="s">
        <v>23</v>
      </c>
      <c r="M400" s="11" t="s">
        <v>24</v>
      </c>
      <c r="N400" s="9" t="s">
        <v>25</v>
      </c>
      <c r="O400" s="14">
        <f t="shared" si="4"/>
        <v>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1.5" customHeight="1">
      <c r="A401" s="15">
        <v>397.0</v>
      </c>
      <c r="B401" s="10" t="s">
        <v>1176</v>
      </c>
      <c r="C401" s="11" t="s">
        <v>1177</v>
      </c>
      <c r="D401" s="12" t="s">
        <v>1178</v>
      </c>
      <c r="E401" s="12">
        <v>2019.0</v>
      </c>
      <c r="F401" s="13" t="s">
        <v>19</v>
      </c>
      <c r="G401" s="9"/>
      <c r="H401" s="11" t="s">
        <v>20</v>
      </c>
      <c r="I401" s="15"/>
      <c r="J401" s="9" t="s">
        <v>21</v>
      </c>
      <c r="K401" s="9" t="s">
        <v>22</v>
      </c>
      <c r="L401" s="11" t="s">
        <v>23</v>
      </c>
      <c r="M401" s="11" t="s">
        <v>24</v>
      </c>
      <c r="N401" s="9" t="s">
        <v>25</v>
      </c>
      <c r="O401" s="14">
        <f t="shared" si="4"/>
        <v>0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1.5" customHeight="1">
      <c r="A402" s="15">
        <v>398.0</v>
      </c>
      <c r="B402" s="10" t="s">
        <v>1179</v>
      </c>
      <c r="C402" s="11" t="s">
        <v>1180</v>
      </c>
      <c r="D402" s="12" t="s">
        <v>1181</v>
      </c>
      <c r="E402" s="12">
        <v>2019.0</v>
      </c>
      <c r="F402" s="13" t="s">
        <v>19</v>
      </c>
      <c r="G402" s="9"/>
      <c r="H402" s="11" t="s">
        <v>20</v>
      </c>
      <c r="I402" s="15"/>
      <c r="J402" s="9" t="s">
        <v>21</v>
      </c>
      <c r="K402" s="9" t="s">
        <v>22</v>
      </c>
      <c r="L402" s="11" t="s">
        <v>23</v>
      </c>
      <c r="M402" s="11" t="s">
        <v>24</v>
      </c>
      <c r="N402" s="9" t="s">
        <v>25</v>
      </c>
      <c r="O402" s="14">
        <f t="shared" si="4"/>
        <v>0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1.5" customHeight="1">
      <c r="A403" s="15">
        <v>399.0</v>
      </c>
      <c r="B403" s="10" t="s">
        <v>1182</v>
      </c>
      <c r="C403" s="11" t="s">
        <v>1183</v>
      </c>
      <c r="D403" s="12" t="s">
        <v>1184</v>
      </c>
      <c r="E403" s="12">
        <v>2019.0</v>
      </c>
      <c r="F403" s="13" t="s">
        <v>19</v>
      </c>
      <c r="G403" s="9"/>
      <c r="H403" s="11" t="s">
        <v>20</v>
      </c>
      <c r="I403" s="15"/>
      <c r="J403" s="9" t="s">
        <v>21</v>
      </c>
      <c r="K403" s="9" t="s">
        <v>22</v>
      </c>
      <c r="L403" s="11" t="s">
        <v>23</v>
      </c>
      <c r="M403" s="11" t="s">
        <v>24</v>
      </c>
      <c r="N403" s="9" t="s">
        <v>25</v>
      </c>
      <c r="O403" s="14">
        <f t="shared" si="4"/>
        <v>0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1.5" customHeight="1">
      <c r="A404" s="15">
        <v>400.0</v>
      </c>
      <c r="B404" s="10" t="s">
        <v>1185</v>
      </c>
      <c r="C404" s="11" t="s">
        <v>1186</v>
      </c>
      <c r="D404" s="12" t="s">
        <v>1187</v>
      </c>
      <c r="E404" s="12">
        <v>2019.0</v>
      </c>
      <c r="F404" s="13" t="s">
        <v>19</v>
      </c>
      <c r="G404" s="9"/>
      <c r="H404" s="11" t="s">
        <v>20</v>
      </c>
      <c r="I404" s="15"/>
      <c r="J404" s="9" t="s">
        <v>21</v>
      </c>
      <c r="K404" s="9" t="s">
        <v>22</v>
      </c>
      <c r="L404" s="11" t="s">
        <v>23</v>
      </c>
      <c r="M404" s="11" t="s">
        <v>24</v>
      </c>
      <c r="N404" s="9" t="s">
        <v>25</v>
      </c>
      <c r="O404" s="14">
        <f t="shared" si="4"/>
        <v>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1.5" customHeight="1">
      <c r="A405" s="15">
        <v>401.0</v>
      </c>
      <c r="B405" s="10" t="s">
        <v>1188</v>
      </c>
      <c r="C405" s="11" t="s">
        <v>1189</v>
      </c>
      <c r="D405" s="12" t="s">
        <v>1190</v>
      </c>
      <c r="E405" s="12">
        <v>2019.0</v>
      </c>
      <c r="F405" s="13" t="s">
        <v>19</v>
      </c>
      <c r="G405" s="9"/>
      <c r="H405" s="11" t="s">
        <v>20</v>
      </c>
      <c r="I405" s="15"/>
      <c r="J405" s="9" t="s">
        <v>21</v>
      </c>
      <c r="K405" s="9" t="s">
        <v>22</v>
      </c>
      <c r="L405" s="11" t="s">
        <v>23</v>
      </c>
      <c r="M405" s="11" t="s">
        <v>24</v>
      </c>
      <c r="N405" s="9" t="s">
        <v>25</v>
      </c>
      <c r="O405" s="14">
        <f t="shared" si="4"/>
        <v>0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1.5" customHeight="1">
      <c r="A406" s="15">
        <v>402.0</v>
      </c>
      <c r="B406" s="10" t="s">
        <v>1191</v>
      </c>
      <c r="C406" s="11" t="s">
        <v>535</v>
      </c>
      <c r="D406" s="12" t="s">
        <v>1192</v>
      </c>
      <c r="E406" s="12">
        <v>2019.0</v>
      </c>
      <c r="F406" s="13" t="s">
        <v>19</v>
      </c>
      <c r="G406" s="9"/>
      <c r="H406" s="11" t="s">
        <v>20</v>
      </c>
      <c r="I406" s="15"/>
      <c r="J406" s="9" t="s">
        <v>21</v>
      </c>
      <c r="K406" s="9" t="s">
        <v>22</v>
      </c>
      <c r="L406" s="11" t="s">
        <v>23</v>
      </c>
      <c r="M406" s="11" t="s">
        <v>24</v>
      </c>
      <c r="N406" s="9" t="s">
        <v>25</v>
      </c>
      <c r="O406" s="14">
        <f t="shared" si="4"/>
        <v>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1.5" customHeight="1">
      <c r="A407" s="15">
        <v>403.0</v>
      </c>
      <c r="B407" s="10" t="s">
        <v>1193</v>
      </c>
      <c r="C407" s="11" t="s">
        <v>1194</v>
      </c>
      <c r="D407" s="12" t="s">
        <v>1195</v>
      </c>
      <c r="E407" s="12">
        <v>2019.0</v>
      </c>
      <c r="F407" s="13" t="s">
        <v>19</v>
      </c>
      <c r="G407" s="9"/>
      <c r="H407" s="11" t="s">
        <v>20</v>
      </c>
      <c r="I407" s="15"/>
      <c r="J407" s="9" t="s">
        <v>21</v>
      </c>
      <c r="K407" s="9" t="s">
        <v>22</v>
      </c>
      <c r="L407" s="11" t="s">
        <v>23</v>
      </c>
      <c r="M407" s="11" t="s">
        <v>24</v>
      </c>
      <c r="N407" s="9" t="s">
        <v>25</v>
      </c>
      <c r="O407" s="14">
        <f t="shared" si="4"/>
        <v>0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1.5" customHeight="1">
      <c r="A408" s="15">
        <v>404.0</v>
      </c>
      <c r="B408" s="10" t="s">
        <v>1196</v>
      </c>
      <c r="C408" s="11" t="s">
        <v>1197</v>
      </c>
      <c r="D408" s="12" t="s">
        <v>1198</v>
      </c>
      <c r="E408" s="12">
        <v>2019.0</v>
      </c>
      <c r="F408" s="13" t="s">
        <v>19</v>
      </c>
      <c r="G408" s="9"/>
      <c r="H408" s="11" t="s">
        <v>20</v>
      </c>
      <c r="I408" s="15"/>
      <c r="J408" s="9" t="s">
        <v>21</v>
      </c>
      <c r="K408" s="9" t="s">
        <v>22</v>
      </c>
      <c r="L408" s="11" t="s">
        <v>23</v>
      </c>
      <c r="M408" s="11" t="s">
        <v>24</v>
      </c>
      <c r="N408" s="9" t="s">
        <v>25</v>
      </c>
      <c r="O408" s="14">
        <f t="shared" si="4"/>
        <v>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1.5" customHeight="1">
      <c r="A409" s="15">
        <v>405.0</v>
      </c>
      <c r="B409" s="10" t="s">
        <v>1199</v>
      </c>
      <c r="C409" s="11" t="s">
        <v>1200</v>
      </c>
      <c r="D409" s="12" t="s">
        <v>1201</v>
      </c>
      <c r="E409" s="12">
        <v>2019.0</v>
      </c>
      <c r="F409" s="13" t="s">
        <v>19</v>
      </c>
      <c r="G409" s="9"/>
      <c r="H409" s="11" t="s">
        <v>20</v>
      </c>
      <c r="I409" s="15"/>
      <c r="J409" s="9" t="s">
        <v>21</v>
      </c>
      <c r="K409" s="9" t="s">
        <v>22</v>
      </c>
      <c r="L409" s="11" t="s">
        <v>23</v>
      </c>
      <c r="M409" s="11" t="s">
        <v>24</v>
      </c>
      <c r="N409" s="9" t="s">
        <v>25</v>
      </c>
      <c r="O409" s="14">
        <f t="shared" si="4"/>
        <v>0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1.5" customHeight="1">
      <c r="A410" s="15">
        <v>406.0</v>
      </c>
      <c r="B410" s="10" t="s">
        <v>1202</v>
      </c>
      <c r="C410" s="11" t="s">
        <v>650</v>
      </c>
      <c r="D410" s="12" t="s">
        <v>1203</v>
      </c>
      <c r="E410" s="12">
        <v>2019.0</v>
      </c>
      <c r="F410" s="13" t="s">
        <v>19</v>
      </c>
      <c r="G410" s="9"/>
      <c r="H410" s="11" t="s">
        <v>20</v>
      </c>
      <c r="I410" s="15"/>
      <c r="J410" s="9" t="s">
        <v>21</v>
      </c>
      <c r="K410" s="9" t="s">
        <v>22</v>
      </c>
      <c r="L410" s="11" t="s">
        <v>23</v>
      </c>
      <c r="M410" s="11" t="s">
        <v>24</v>
      </c>
      <c r="N410" s="9" t="s">
        <v>25</v>
      </c>
      <c r="O410" s="14">
        <f t="shared" si="4"/>
        <v>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1.5" customHeight="1">
      <c r="A411" s="15">
        <v>407.0</v>
      </c>
      <c r="B411" s="10" t="s">
        <v>1204</v>
      </c>
      <c r="C411" s="11" t="s">
        <v>941</v>
      </c>
      <c r="D411" s="12" t="s">
        <v>1205</v>
      </c>
      <c r="E411" s="12">
        <v>2019.0</v>
      </c>
      <c r="F411" s="13" t="s">
        <v>19</v>
      </c>
      <c r="G411" s="9"/>
      <c r="H411" s="11" t="s">
        <v>20</v>
      </c>
      <c r="I411" s="15"/>
      <c r="J411" s="9" t="s">
        <v>21</v>
      </c>
      <c r="K411" s="9" t="s">
        <v>22</v>
      </c>
      <c r="L411" s="11" t="s">
        <v>23</v>
      </c>
      <c r="M411" s="11" t="s">
        <v>24</v>
      </c>
      <c r="N411" s="9" t="s">
        <v>25</v>
      </c>
      <c r="O411" s="14">
        <f t="shared" si="4"/>
        <v>0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1.5" customHeight="1">
      <c r="A412" s="15">
        <v>408.0</v>
      </c>
      <c r="B412" s="10" t="s">
        <v>1206</v>
      </c>
      <c r="C412" s="11" t="s">
        <v>571</v>
      </c>
      <c r="D412" s="12" t="s">
        <v>1207</v>
      </c>
      <c r="E412" s="12">
        <v>2019.0</v>
      </c>
      <c r="F412" s="13" t="s">
        <v>19</v>
      </c>
      <c r="G412" s="9"/>
      <c r="H412" s="11" t="s">
        <v>20</v>
      </c>
      <c r="I412" s="15"/>
      <c r="J412" s="9" t="s">
        <v>21</v>
      </c>
      <c r="K412" s="9" t="s">
        <v>22</v>
      </c>
      <c r="L412" s="11" t="s">
        <v>23</v>
      </c>
      <c r="M412" s="11" t="s">
        <v>24</v>
      </c>
      <c r="N412" s="9" t="s">
        <v>25</v>
      </c>
      <c r="O412" s="14">
        <f t="shared" si="4"/>
        <v>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1.5" customHeight="1">
      <c r="A413" s="15">
        <v>409.0</v>
      </c>
      <c r="B413" s="10" t="s">
        <v>1208</v>
      </c>
      <c r="C413" s="11" t="s">
        <v>1209</v>
      </c>
      <c r="D413" s="12" t="s">
        <v>1210</v>
      </c>
      <c r="E413" s="12">
        <v>2019.0</v>
      </c>
      <c r="F413" s="13" t="s">
        <v>19</v>
      </c>
      <c r="G413" s="9"/>
      <c r="H413" s="11" t="s">
        <v>20</v>
      </c>
      <c r="I413" s="15"/>
      <c r="J413" s="9" t="s">
        <v>21</v>
      </c>
      <c r="K413" s="9" t="s">
        <v>22</v>
      </c>
      <c r="L413" s="11" t="s">
        <v>23</v>
      </c>
      <c r="M413" s="11" t="s">
        <v>24</v>
      </c>
      <c r="N413" s="9" t="s">
        <v>25</v>
      </c>
      <c r="O413" s="14">
        <f t="shared" si="4"/>
        <v>0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1.5" customHeight="1">
      <c r="A414" s="15">
        <v>410.0</v>
      </c>
      <c r="B414" s="10" t="s">
        <v>1211</v>
      </c>
      <c r="C414" s="11" t="s">
        <v>1212</v>
      </c>
      <c r="D414" s="12" t="s">
        <v>1213</v>
      </c>
      <c r="E414" s="12">
        <v>2019.0</v>
      </c>
      <c r="F414" s="13" t="s">
        <v>19</v>
      </c>
      <c r="G414" s="9"/>
      <c r="H414" s="11" t="s">
        <v>20</v>
      </c>
      <c r="I414" s="15"/>
      <c r="J414" s="9" t="s">
        <v>21</v>
      </c>
      <c r="K414" s="9" t="s">
        <v>22</v>
      </c>
      <c r="L414" s="11" t="s">
        <v>23</v>
      </c>
      <c r="M414" s="11" t="s">
        <v>24</v>
      </c>
      <c r="N414" s="9" t="s">
        <v>25</v>
      </c>
      <c r="O414" s="14">
        <f t="shared" si="4"/>
        <v>0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1.5" customHeight="1">
      <c r="A415" s="15">
        <v>411.0</v>
      </c>
      <c r="B415" s="10" t="s">
        <v>1214</v>
      </c>
      <c r="C415" s="11" t="s">
        <v>1215</v>
      </c>
      <c r="D415" s="12" t="s">
        <v>1216</v>
      </c>
      <c r="E415" s="12">
        <v>2019.0</v>
      </c>
      <c r="F415" s="13" t="s">
        <v>19</v>
      </c>
      <c r="G415" s="9"/>
      <c r="H415" s="11" t="s">
        <v>20</v>
      </c>
      <c r="I415" s="15"/>
      <c r="J415" s="9" t="s">
        <v>21</v>
      </c>
      <c r="K415" s="9" t="s">
        <v>22</v>
      </c>
      <c r="L415" s="11" t="s">
        <v>23</v>
      </c>
      <c r="M415" s="11" t="s">
        <v>24</v>
      </c>
      <c r="N415" s="9" t="s">
        <v>25</v>
      </c>
      <c r="O415" s="14">
        <f t="shared" si="4"/>
        <v>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1.5" customHeight="1">
      <c r="A416" s="15">
        <v>412.0</v>
      </c>
      <c r="B416" s="10" t="s">
        <v>1217</v>
      </c>
      <c r="C416" s="11" t="s">
        <v>1218</v>
      </c>
      <c r="D416" s="12" t="s">
        <v>1219</v>
      </c>
      <c r="E416" s="12">
        <v>2019.0</v>
      </c>
      <c r="F416" s="13" t="s">
        <v>19</v>
      </c>
      <c r="G416" s="9"/>
      <c r="H416" s="11" t="s">
        <v>20</v>
      </c>
      <c r="I416" s="15"/>
      <c r="J416" s="9" t="s">
        <v>21</v>
      </c>
      <c r="K416" s="9" t="s">
        <v>22</v>
      </c>
      <c r="L416" s="11" t="s">
        <v>23</v>
      </c>
      <c r="M416" s="11" t="s">
        <v>24</v>
      </c>
      <c r="N416" s="9" t="s">
        <v>25</v>
      </c>
      <c r="O416" s="14">
        <f t="shared" si="4"/>
        <v>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1.5" customHeight="1">
      <c r="A417" s="15">
        <v>413.0</v>
      </c>
      <c r="B417" s="10" t="s">
        <v>1220</v>
      </c>
      <c r="C417" s="11" t="s">
        <v>1221</v>
      </c>
      <c r="D417" s="12" t="s">
        <v>1222</v>
      </c>
      <c r="E417" s="12">
        <v>2019.0</v>
      </c>
      <c r="F417" s="13" t="s">
        <v>19</v>
      </c>
      <c r="G417" s="9"/>
      <c r="H417" s="11" t="s">
        <v>20</v>
      </c>
      <c r="I417" s="15"/>
      <c r="J417" s="9" t="s">
        <v>21</v>
      </c>
      <c r="K417" s="9" t="s">
        <v>22</v>
      </c>
      <c r="L417" s="11" t="s">
        <v>23</v>
      </c>
      <c r="M417" s="11" t="s">
        <v>24</v>
      </c>
      <c r="N417" s="9" t="s">
        <v>25</v>
      </c>
      <c r="O417" s="14">
        <f t="shared" si="4"/>
        <v>0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1.5" customHeight="1">
      <c r="A418" s="15">
        <v>414.0</v>
      </c>
      <c r="B418" s="10" t="s">
        <v>1223</v>
      </c>
      <c r="C418" s="11" t="s">
        <v>1224</v>
      </c>
      <c r="D418" s="12" t="s">
        <v>1225</v>
      </c>
      <c r="E418" s="12">
        <v>2019.0</v>
      </c>
      <c r="F418" s="13" t="s">
        <v>19</v>
      </c>
      <c r="G418" s="9"/>
      <c r="H418" s="11" t="s">
        <v>20</v>
      </c>
      <c r="I418" s="15"/>
      <c r="J418" s="9" t="s">
        <v>21</v>
      </c>
      <c r="K418" s="9" t="s">
        <v>22</v>
      </c>
      <c r="L418" s="11" t="s">
        <v>23</v>
      </c>
      <c r="M418" s="11" t="s">
        <v>24</v>
      </c>
      <c r="N418" s="9" t="s">
        <v>25</v>
      </c>
      <c r="O418" s="14">
        <f t="shared" si="4"/>
        <v>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1.5" customHeight="1">
      <c r="A419" s="15">
        <v>415.0</v>
      </c>
      <c r="B419" s="10" t="s">
        <v>1226</v>
      </c>
      <c r="C419" s="11" t="s">
        <v>1121</v>
      </c>
      <c r="D419" s="12" t="s">
        <v>1227</v>
      </c>
      <c r="E419" s="12">
        <v>2019.0</v>
      </c>
      <c r="F419" s="13" t="s">
        <v>19</v>
      </c>
      <c r="G419" s="9"/>
      <c r="H419" s="11" t="s">
        <v>20</v>
      </c>
      <c r="I419" s="15"/>
      <c r="J419" s="9" t="s">
        <v>21</v>
      </c>
      <c r="K419" s="9" t="s">
        <v>22</v>
      </c>
      <c r="L419" s="11" t="s">
        <v>23</v>
      </c>
      <c r="M419" s="11" t="s">
        <v>24</v>
      </c>
      <c r="N419" s="9" t="s">
        <v>25</v>
      </c>
      <c r="O419" s="14">
        <f t="shared" si="4"/>
        <v>0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1.5" customHeight="1">
      <c r="A420" s="15">
        <v>416.0</v>
      </c>
      <c r="B420" s="10" t="s">
        <v>1228</v>
      </c>
      <c r="C420" s="11" t="s">
        <v>1229</v>
      </c>
      <c r="D420" s="12" t="s">
        <v>1230</v>
      </c>
      <c r="E420" s="12">
        <v>2019.0</v>
      </c>
      <c r="F420" s="13" t="s">
        <v>19</v>
      </c>
      <c r="G420" s="9"/>
      <c r="H420" s="11" t="s">
        <v>20</v>
      </c>
      <c r="I420" s="15"/>
      <c r="J420" s="9" t="s">
        <v>21</v>
      </c>
      <c r="K420" s="9" t="s">
        <v>22</v>
      </c>
      <c r="L420" s="11" t="s">
        <v>23</v>
      </c>
      <c r="M420" s="11" t="s">
        <v>24</v>
      </c>
      <c r="N420" s="9" t="s">
        <v>25</v>
      </c>
      <c r="O420" s="14">
        <f t="shared" si="4"/>
        <v>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1.5" customHeight="1">
      <c r="A421" s="15">
        <v>417.0</v>
      </c>
      <c r="B421" s="10" t="s">
        <v>1231</v>
      </c>
      <c r="C421" s="11" t="s">
        <v>1232</v>
      </c>
      <c r="D421" s="12" t="s">
        <v>1233</v>
      </c>
      <c r="E421" s="12">
        <v>2019.0</v>
      </c>
      <c r="F421" s="13" t="s">
        <v>19</v>
      </c>
      <c r="G421" s="9"/>
      <c r="H421" s="11" t="s">
        <v>20</v>
      </c>
      <c r="I421" s="15"/>
      <c r="J421" s="9" t="s">
        <v>21</v>
      </c>
      <c r="K421" s="9" t="s">
        <v>22</v>
      </c>
      <c r="L421" s="11" t="s">
        <v>23</v>
      </c>
      <c r="M421" s="11" t="s">
        <v>24</v>
      </c>
      <c r="N421" s="9" t="s">
        <v>25</v>
      </c>
      <c r="O421" s="14">
        <f t="shared" si="4"/>
        <v>0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1.5" customHeight="1">
      <c r="A422" s="15">
        <v>418.0</v>
      </c>
      <c r="B422" s="10" t="s">
        <v>1234</v>
      </c>
      <c r="C422" s="11" t="s">
        <v>1235</v>
      </c>
      <c r="D422" s="12" t="s">
        <v>1236</v>
      </c>
      <c r="E422" s="12">
        <v>2019.0</v>
      </c>
      <c r="F422" s="13" t="s">
        <v>19</v>
      </c>
      <c r="G422" s="9"/>
      <c r="H422" s="11" t="s">
        <v>20</v>
      </c>
      <c r="I422" s="15"/>
      <c r="J422" s="9" t="s">
        <v>21</v>
      </c>
      <c r="K422" s="9" t="s">
        <v>22</v>
      </c>
      <c r="L422" s="11" t="s">
        <v>23</v>
      </c>
      <c r="M422" s="11" t="s">
        <v>24</v>
      </c>
      <c r="N422" s="9" t="s">
        <v>25</v>
      </c>
      <c r="O422" s="14">
        <f t="shared" si="4"/>
        <v>0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1.5" customHeight="1">
      <c r="A423" s="15">
        <v>419.0</v>
      </c>
      <c r="B423" s="10" t="s">
        <v>1237</v>
      </c>
      <c r="C423" s="11" t="s">
        <v>1238</v>
      </c>
      <c r="D423" s="12" t="s">
        <v>1239</v>
      </c>
      <c r="E423" s="12">
        <v>2019.0</v>
      </c>
      <c r="F423" s="13" t="s">
        <v>19</v>
      </c>
      <c r="G423" s="9"/>
      <c r="H423" s="11" t="s">
        <v>20</v>
      </c>
      <c r="I423" s="15"/>
      <c r="J423" s="9" t="s">
        <v>21</v>
      </c>
      <c r="K423" s="9" t="s">
        <v>22</v>
      </c>
      <c r="L423" s="11" t="s">
        <v>23</v>
      </c>
      <c r="M423" s="11" t="s">
        <v>24</v>
      </c>
      <c r="N423" s="9" t="s">
        <v>25</v>
      </c>
      <c r="O423" s="14">
        <f t="shared" si="4"/>
        <v>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1.5" customHeight="1">
      <c r="A424" s="15">
        <v>420.0</v>
      </c>
      <c r="B424" s="10" t="s">
        <v>1240</v>
      </c>
      <c r="C424" s="11" t="s">
        <v>1241</v>
      </c>
      <c r="D424" s="12" t="s">
        <v>1242</v>
      </c>
      <c r="E424" s="12">
        <v>2019.0</v>
      </c>
      <c r="F424" s="13" t="s">
        <v>19</v>
      </c>
      <c r="G424" s="9"/>
      <c r="H424" s="11" t="s">
        <v>20</v>
      </c>
      <c r="I424" s="15"/>
      <c r="J424" s="9" t="s">
        <v>21</v>
      </c>
      <c r="K424" s="9" t="s">
        <v>22</v>
      </c>
      <c r="L424" s="11" t="s">
        <v>23</v>
      </c>
      <c r="M424" s="11" t="s">
        <v>24</v>
      </c>
      <c r="N424" s="9" t="s">
        <v>25</v>
      </c>
      <c r="O424" s="14">
        <f t="shared" si="4"/>
        <v>0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1.5" customHeight="1">
      <c r="A425" s="15">
        <v>421.0</v>
      </c>
      <c r="B425" s="10" t="s">
        <v>1243</v>
      </c>
      <c r="C425" s="11" t="s">
        <v>1244</v>
      </c>
      <c r="D425" s="12" t="s">
        <v>1245</v>
      </c>
      <c r="E425" s="12">
        <v>2019.0</v>
      </c>
      <c r="F425" s="13" t="s">
        <v>19</v>
      </c>
      <c r="G425" s="9"/>
      <c r="H425" s="11" t="s">
        <v>20</v>
      </c>
      <c r="I425" s="15"/>
      <c r="J425" s="9" t="s">
        <v>21</v>
      </c>
      <c r="K425" s="9" t="s">
        <v>22</v>
      </c>
      <c r="L425" s="11" t="s">
        <v>23</v>
      </c>
      <c r="M425" s="11" t="s">
        <v>24</v>
      </c>
      <c r="N425" s="9" t="s">
        <v>25</v>
      </c>
      <c r="O425" s="14">
        <f t="shared" si="4"/>
        <v>0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1.5" customHeight="1">
      <c r="A426" s="15">
        <v>422.0</v>
      </c>
      <c r="B426" s="10" t="s">
        <v>1246</v>
      </c>
      <c r="C426" s="11" t="s">
        <v>1247</v>
      </c>
      <c r="D426" s="12" t="s">
        <v>1248</v>
      </c>
      <c r="E426" s="12">
        <v>2019.0</v>
      </c>
      <c r="F426" s="13" t="s">
        <v>19</v>
      </c>
      <c r="G426" s="9"/>
      <c r="H426" s="11" t="s">
        <v>20</v>
      </c>
      <c r="I426" s="15"/>
      <c r="J426" s="9" t="s">
        <v>21</v>
      </c>
      <c r="K426" s="9" t="s">
        <v>22</v>
      </c>
      <c r="L426" s="11" t="s">
        <v>23</v>
      </c>
      <c r="M426" s="11" t="s">
        <v>24</v>
      </c>
      <c r="N426" s="9" t="s">
        <v>25</v>
      </c>
      <c r="O426" s="14">
        <f t="shared" si="4"/>
        <v>0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1.5" customHeight="1">
      <c r="A427" s="15">
        <v>423.0</v>
      </c>
      <c r="B427" s="10" t="s">
        <v>1249</v>
      </c>
      <c r="C427" s="11" t="s">
        <v>1250</v>
      </c>
      <c r="D427" s="12" t="s">
        <v>1251</v>
      </c>
      <c r="E427" s="12">
        <v>2019.0</v>
      </c>
      <c r="F427" s="13" t="s">
        <v>19</v>
      </c>
      <c r="G427" s="9"/>
      <c r="H427" s="11" t="s">
        <v>20</v>
      </c>
      <c r="I427" s="15"/>
      <c r="J427" s="9" t="s">
        <v>21</v>
      </c>
      <c r="K427" s="9" t="s">
        <v>22</v>
      </c>
      <c r="L427" s="11" t="s">
        <v>23</v>
      </c>
      <c r="M427" s="11" t="s">
        <v>24</v>
      </c>
      <c r="N427" s="9" t="s">
        <v>25</v>
      </c>
      <c r="O427" s="14">
        <f t="shared" si="4"/>
        <v>0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1.5" customHeight="1">
      <c r="A428" s="15">
        <v>424.0</v>
      </c>
      <c r="B428" s="10" t="s">
        <v>1252</v>
      </c>
      <c r="C428" s="11" t="s">
        <v>1253</v>
      </c>
      <c r="D428" s="12" t="s">
        <v>1254</v>
      </c>
      <c r="E428" s="12">
        <v>2019.0</v>
      </c>
      <c r="F428" s="13" t="s">
        <v>19</v>
      </c>
      <c r="G428" s="9"/>
      <c r="H428" s="11" t="s">
        <v>20</v>
      </c>
      <c r="I428" s="15"/>
      <c r="J428" s="9" t="s">
        <v>21</v>
      </c>
      <c r="K428" s="9" t="s">
        <v>22</v>
      </c>
      <c r="L428" s="11" t="s">
        <v>23</v>
      </c>
      <c r="M428" s="11" t="s">
        <v>24</v>
      </c>
      <c r="N428" s="9" t="s">
        <v>25</v>
      </c>
      <c r="O428" s="14">
        <f t="shared" si="4"/>
        <v>0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1.5" customHeight="1">
      <c r="A429" s="15">
        <v>425.0</v>
      </c>
      <c r="B429" s="10" t="s">
        <v>1255</v>
      </c>
      <c r="C429" s="11" t="s">
        <v>1256</v>
      </c>
      <c r="D429" s="12" t="s">
        <v>1257</v>
      </c>
      <c r="E429" s="12">
        <v>2019.0</v>
      </c>
      <c r="F429" s="13" t="s">
        <v>19</v>
      </c>
      <c r="G429" s="9"/>
      <c r="H429" s="11" t="s">
        <v>20</v>
      </c>
      <c r="I429" s="15"/>
      <c r="J429" s="9" t="s">
        <v>21</v>
      </c>
      <c r="K429" s="9" t="s">
        <v>22</v>
      </c>
      <c r="L429" s="11" t="s">
        <v>23</v>
      </c>
      <c r="M429" s="11" t="s">
        <v>24</v>
      </c>
      <c r="N429" s="9" t="s">
        <v>25</v>
      </c>
      <c r="O429" s="14">
        <f t="shared" si="4"/>
        <v>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1.5" customHeight="1">
      <c r="A430" s="15">
        <v>426.0</v>
      </c>
      <c r="B430" s="10" t="s">
        <v>1258</v>
      </c>
      <c r="C430" s="11" t="s">
        <v>1259</v>
      </c>
      <c r="D430" s="12" t="s">
        <v>1260</v>
      </c>
      <c r="E430" s="12">
        <v>2019.0</v>
      </c>
      <c r="F430" s="13" t="s">
        <v>19</v>
      </c>
      <c r="G430" s="9"/>
      <c r="H430" s="11" t="s">
        <v>20</v>
      </c>
      <c r="I430" s="15"/>
      <c r="J430" s="9" t="s">
        <v>21</v>
      </c>
      <c r="K430" s="9" t="s">
        <v>22</v>
      </c>
      <c r="L430" s="11" t="s">
        <v>23</v>
      </c>
      <c r="M430" s="11" t="s">
        <v>24</v>
      </c>
      <c r="N430" s="9" t="s">
        <v>25</v>
      </c>
      <c r="O430" s="14">
        <f t="shared" si="4"/>
        <v>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1.5" customHeight="1">
      <c r="A431" s="15">
        <v>427.0</v>
      </c>
      <c r="B431" s="10" t="s">
        <v>1261</v>
      </c>
      <c r="C431" s="11" t="s">
        <v>1262</v>
      </c>
      <c r="D431" s="12" t="s">
        <v>1263</v>
      </c>
      <c r="E431" s="12">
        <v>2019.0</v>
      </c>
      <c r="F431" s="13" t="s">
        <v>19</v>
      </c>
      <c r="G431" s="9"/>
      <c r="H431" s="11" t="s">
        <v>20</v>
      </c>
      <c r="I431" s="15"/>
      <c r="J431" s="9" t="s">
        <v>21</v>
      </c>
      <c r="K431" s="9" t="s">
        <v>22</v>
      </c>
      <c r="L431" s="11" t="s">
        <v>23</v>
      </c>
      <c r="M431" s="11" t="s">
        <v>24</v>
      </c>
      <c r="N431" s="9" t="s">
        <v>25</v>
      </c>
      <c r="O431" s="14">
        <f t="shared" si="4"/>
        <v>0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1.5" customHeight="1">
      <c r="A432" s="16"/>
      <c r="B432" s="17"/>
      <c r="C432" s="18"/>
      <c r="D432" s="19"/>
      <c r="E432" s="19"/>
      <c r="F432" s="20"/>
      <c r="G432" s="20"/>
      <c r="H432" s="18"/>
      <c r="I432" s="16"/>
      <c r="J432" s="20"/>
      <c r="K432" s="20"/>
      <c r="L432" s="18"/>
      <c r="M432" s="18"/>
      <c r="N432" s="20"/>
      <c r="O432" s="21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1.5" customHeight="1">
      <c r="A433" s="16"/>
      <c r="B433" s="17"/>
      <c r="C433" s="18"/>
      <c r="D433" s="19"/>
      <c r="E433" s="19"/>
      <c r="F433" s="20"/>
      <c r="G433" s="20"/>
      <c r="H433" s="18"/>
      <c r="I433" s="16"/>
      <c r="J433" s="20"/>
      <c r="K433" s="20"/>
      <c r="L433" s="18"/>
      <c r="M433" s="18"/>
      <c r="N433" s="20"/>
      <c r="O433" s="21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1.5" customHeight="1">
      <c r="A434" s="16"/>
      <c r="B434" s="17"/>
      <c r="C434" s="18"/>
      <c r="D434" s="19"/>
      <c r="E434" s="19"/>
      <c r="F434" s="20"/>
      <c r="G434" s="20"/>
      <c r="H434" s="18"/>
      <c r="I434" s="16"/>
      <c r="J434" s="20"/>
      <c r="K434" s="20"/>
      <c r="L434" s="18"/>
      <c r="M434" s="18"/>
      <c r="N434" s="20"/>
      <c r="O434" s="21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1.5" customHeight="1">
      <c r="A435" s="16"/>
      <c r="B435" s="17"/>
      <c r="C435" s="18"/>
      <c r="D435" s="19"/>
      <c r="E435" s="19"/>
      <c r="F435" s="20"/>
      <c r="G435" s="20"/>
      <c r="H435" s="18"/>
      <c r="I435" s="16"/>
      <c r="J435" s="20"/>
      <c r="K435" s="20"/>
      <c r="L435" s="18"/>
      <c r="M435" s="18"/>
      <c r="N435" s="20"/>
      <c r="O435" s="21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1.5" customHeight="1">
      <c r="A436" s="16"/>
      <c r="B436" s="17"/>
      <c r="C436" s="18"/>
      <c r="D436" s="19"/>
      <c r="E436" s="19"/>
      <c r="F436" s="20"/>
      <c r="G436" s="20"/>
      <c r="H436" s="18"/>
      <c r="I436" s="16"/>
      <c r="J436" s="20"/>
      <c r="K436" s="20"/>
      <c r="L436" s="18"/>
      <c r="M436" s="18"/>
      <c r="N436" s="20"/>
      <c r="O436" s="21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1.5" customHeight="1">
      <c r="A437" s="16"/>
      <c r="B437" s="17"/>
      <c r="C437" s="18"/>
      <c r="D437" s="19"/>
      <c r="E437" s="19"/>
      <c r="F437" s="20"/>
      <c r="G437" s="20"/>
      <c r="H437" s="18"/>
      <c r="I437" s="16"/>
      <c r="J437" s="20"/>
      <c r="K437" s="20"/>
      <c r="L437" s="18"/>
      <c r="M437" s="18"/>
      <c r="N437" s="20"/>
      <c r="O437" s="21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1.5" customHeight="1">
      <c r="A438" s="16"/>
      <c r="B438" s="17"/>
      <c r="C438" s="18"/>
      <c r="D438" s="19"/>
      <c r="E438" s="19"/>
      <c r="F438" s="20"/>
      <c r="G438" s="20"/>
      <c r="H438" s="18"/>
      <c r="I438" s="16"/>
      <c r="J438" s="20"/>
      <c r="K438" s="20"/>
      <c r="L438" s="18"/>
      <c r="M438" s="18"/>
      <c r="N438" s="20"/>
      <c r="O438" s="21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1.5" customHeight="1">
      <c r="A439" s="16"/>
      <c r="B439" s="17"/>
      <c r="C439" s="18"/>
      <c r="D439" s="19"/>
      <c r="E439" s="19"/>
      <c r="F439" s="20"/>
      <c r="G439" s="20"/>
      <c r="H439" s="18"/>
      <c r="I439" s="16"/>
      <c r="J439" s="20"/>
      <c r="K439" s="20"/>
      <c r="L439" s="18"/>
      <c r="M439" s="18"/>
      <c r="N439" s="20"/>
      <c r="O439" s="21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1.5" customHeight="1">
      <c r="A440" s="16"/>
      <c r="B440" s="17"/>
      <c r="C440" s="18"/>
      <c r="D440" s="19"/>
      <c r="E440" s="19"/>
      <c r="F440" s="20"/>
      <c r="G440" s="20"/>
      <c r="H440" s="18"/>
      <c r="I440" s="16"/>
      <c r="J440" s="20"/>
      <c r="K440" s="20"/>
      <c r="L440" s="18"/>
      <c r="M440" s="18"/>
      <c r="N440" s="20"/>
      <c r="O440" s="21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1.5" customHeight="1">
      <c r="A441" s="16"/>
      <c r="B441" s="17"/>
      <c r="C441" s="18"/>
      <c r="D441" s="19"/>
      <c r="E441" s="19"/>
      <c r="F441" s="20"/>
      <c r="G441" s="20"/>
      <c r="H441" s="18"/>
      <c r="I441" s="16"/>
      <c r="J441" s="20"/>
      <c r="K441" s="20"/>
      <c r="L441" s="18"/>
      <c r="M441" s="18"/>
      <c r="N441" s="20"/>
      <c r="O441" s="21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1.5" customHeight="1">
      <c r="A442" s="16"/>
      <c r="B442" s="17"/>
      <c r="C442" s="18"/>
      <c r="D442" s="19"/>
      <c r="E442" s="19"/>
      <c r="F442" s="20"/>
      <c r="G442" s="20"/>
      <c r="H442" s="18"/>
      <c r="I442" s="16"/>
      <c r="J442" s="20"/>
      <c r="K442" s="20"/>
      <c r="L442" s="18"/>
      <c r="M442" s="18"/>
      <c r="N442" s="20"/>
      <c r="O442" s="21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1.5" customHeight="1">
      <c r="A443" s="16"/>
      <c r="B443" s="17"/>
      <c r="C443" s="18"/>
      <c r="D443" s="19"/>
      <c r="E443" s="19"/>
      <c r="F443" s="20"/>
      <c r="G443" s="20"/>
      <c r="H443" s="18"/>
      <c r="I443" s="16"/>
      <c r="J443" s="20"/>
      <c r="K443" s="20"/>
      <c r="L443" s="18"/>
      <c r="M443" s="18"/>
      <c r="N443" s="20"/>
      <c r="O443" s="21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1.5" customHeight="1">
      <c r="A444" s="16"/>
      <c r="B444" s="17"/>
      <c r="C444" s="18"/>
      <c r="D444" s="19"/>
      <c r="E444" s="19"/>
      <c r="F444" s="20"/>
      <c r="G444" s="20"/>
      <c r="H444" s="18"/>
      <c r="I444" s="16"/>
      <c r="J444" s="20"/>
      <c r="K444" s="20"/>
      <c r="L444" s="18"/>
      <c r="M444" s="18"/>
      <c r="N444" s="20"/>
      <c r="O444" s="21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1.5" customHeight="1">
      <c r="A445" s="16"/>
      <c r="B445" s="17"/>
      <c r="C445" s="18"/>
      <c r="D445" s="19"/>
      <c r="E445" s="19"/>
      <c r="F445" s="20"/>
      <c r="G445" s="20"/>
      <c r="H445" s="18"/>
      <c r="I445" s="16"/>
      <c r="J445" s="20"/>
      <c r="K445" s="20"/>
      <c r="L445" s="18"/>
      <c r="M445" s="18"/>
      <c r="N445" s="20"/>
      <c r="O445" s="21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1.5" customHeight="1">
      <c r="A446" s="16"/>
      <c r="B446" s="17"/>
      <c r="C446" s="18"/>
      <c r="D446" s="19"/>
      <c r="E446" s="19"/>
      <c r="F446" s="20"/>
      <c r="G446" s="20"/>
      <c r="H446" s="18"/>
      <c r="I446" s="16"/>
      <c r="J446" s="20"/>
      <c r="K446" s="20"/>
      <c r="L446" s="18"/>
      <c r="M446" s="18"/>
      <c r="N446" s="20"/>
      <c r="O446" s="21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1.5" customHeight="1">
      <c r="A447" s="16"/>
      <c r="B447" s="17"/>
      <c r="C447" s="18"/>
      <c r="D447" s="19"/>
      <c r="E447" s="19"/>
      <c r="F447" s="20"/>
      <c r="G447" s="20"/>
      <c r="H447" s="18"/>
      <c r="I447" s="16"/>
      <c r="J447" s="20"/>
      <c r="K447" s="20"/>
      <c r="L447" s="18"/>
      <c r="M447" s="18"/>
      <c r="N447" s="20"/>
      <c r="O447" s="21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1.5" customHeight="1">
      <c r="A448" s="16"/>
      <c r="B448" s="17"/>
      <c r="C448" s="18"/>
      <c r="D448" s="19"/>
      <c r="E448" s="19"/>
      <c r="F448" s="20"/>
      <c r="G448" s="20"/>
      <c r="H448" s="18"/>
      <c r="I448" s="16"/>
      <c r="J448" s="20"/>
      <c r="K448" s="20"/>
      <c r="L448" s="18"/>
      <c r="M448" s="18"/>
      <c r="N448" s="20"/>
      <c r="O448" s="21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1.5" customHeight="1">
      <c r="A449" s="16"/>
      <c r="B449" s="17"/>
      <c r="C449" s="18"/>
      <c r="D449" s="19"/>
      <c r="E449" s="19"/>
      <c r="F449" s="20"/>
      <c r="G449" s="20"/>
      <c r="H449" s="18"/>
      <c r="I449" s="16"/>
      <c r="J449" s="20"/>
      <c r="K449" s="20"/>
      <c r="L449" s="18"/>
      <c r="M449" s="18"/>
      <c r="N449" s="20"/>
      <c r="O449" s="21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1.5" customHeight="1">
      <c r="A450" s="16"/>
      <c r="B450" s="17"/>
      <c r="C450" s="18"/>
      <c r="D450" s="19"/>
      <c r="E450" s="19"/>
      <c r="F450" s="20"/>
      <c r="G450" s="20"/>
      <c r="H450" s="18"/>
      <c r="I450" s="16"/>
      <c r="J450" s="20"/>
      <c r="K450" s="20"/>
      <c r="L450" s="18"/>
      <c r="M450" s="18"/>
      <c r="N450" s="20"/>
      <c r="O450" s="21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1.5" customHeight="1">
      <c r="A451" s="16"/>
      <c r="B451" s="17"/>
      <c r="C451" s="18"/>
      <c r="D451" s="19"/>
      <c r="E451" s="19"/>
      <c r="F451" s="20"/>
      <c r="G451" s="20"/>
      <c r="H451" s="18"/>
      <c r="I451" s="16"/>
      <c r="J451" s="20"/>
      <c r="K451" s="20"/>
      <c r="L451" s="18"/>
      <c r="M451" s="18"/>
      <c r="N451" s="20"/>
      <c r="O451" s="21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1.5" customHeight="1">
      <c r="A452" s="16"/>
      <c r="B452" s="17"/>
      <c r="C452" s="18"/>
      <c r="D452" s="19"/>
      <c r="E452" s="19"/>
      <c r="F452" s="20"/>
      <c r="G452" s="20"/>
      <c r="H452" s="18"/>
      <c r="I452" s="16"/>
      <c r="J452" s="20"/>
      <c r="K452" s="20"/>
      <c r="L452" s="18"/>
      <c r="M452" s="18"/>
      <c r="N452" s="20"/>
      <c r="O452" s="21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1.5" customHeight="1">
      <c r="A453" s="16"/>
      <c r="B453" s="17"/>
      <c r="C453" s="18"/>
      <c r="D453" s="19"/>
      <c r="E453" s="19"/>
      <c r="F453" s="20"/>
      <c r="G453" s="20"/>
      <c r="H453" s="18"/>
      <c r="I453" s="16"/>
      <c r="J453" s="20"/>
      <c r="K453" s="20"/>
      <c r="L453" s="18"/>
      <c r="M453" s="18"/>
      <c r="N453" s="20"/>
      <c r="O453" s="21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1.5" customHeight="1">
      <c r="A454" s="16"/>
      <c r="B454" s="17"/>
      <c r="C454" s="18"/>
      <c r="D454" s="19"/>
      <c r="E454" s="19"/>
      <c r="F454" s="20"/>
      <c r="G454" s="20"/>
      <c r="H454" s="18"/>
      <c r="I454" s="16"/>
      <c r="J454" s="20"/>
      <c r="K454" s="20"/>
      <c r="L454" s="18"/>
      <c r="M454" s="18"/>
      <c r="N454" s="20"/>
      <c r="O454" s="21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1.5" customHeight="1">
      <c r="A455" s="16"/>
      <c r="B455" s="17"/>
      <c r="C455" s="18"/>
      <c r="D455" s="19"/>
      <c r="E455" s="19"/>
      <c r="F455" s="20"/>
      <c r="G455" s="20"/>
      <c r="H455" s="18"/>
      <c r="I455" s="16"/>
      <c r="J455" s="20"/>
      <c r="K455" s="20"/>
      <c r="L455" s="18"/>
      <c r="M455" s="18"/>
      <c r="N455" s="20"/>
      <c r="O455" s="21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1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1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1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1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1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1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1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1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1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1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1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1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1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1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1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1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1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1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1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1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1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1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1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1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1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1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1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1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1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1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1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1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1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1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1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1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1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1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1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1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1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1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1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1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1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1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1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1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1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1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1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1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1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1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1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1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1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1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1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1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1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1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1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1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1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1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1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1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1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1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1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1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1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1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1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1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1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1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1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1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1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1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1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1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1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1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1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1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1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1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1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1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1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1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1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1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1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1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1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1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1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1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1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1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1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1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1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1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1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1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1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1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1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1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1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1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1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1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1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1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1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1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1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1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1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1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1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1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1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1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1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1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1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1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1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1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1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1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1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1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1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1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1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1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1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1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1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1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1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1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1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1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1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1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1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1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1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1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1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1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1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1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1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1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1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1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1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1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1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1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1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1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1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1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1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1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1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1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1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1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1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1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1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1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1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1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1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1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1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1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1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1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1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1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1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1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1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1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1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1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1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1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1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1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1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1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1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1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1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1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1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1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1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1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1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1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1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1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1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1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1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1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1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1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1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1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1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1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1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1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1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1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1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1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1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1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1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1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1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1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1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1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1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1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1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1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1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1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1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1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1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1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1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1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1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1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1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1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1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1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1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1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1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1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1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1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1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1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1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1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1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1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1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1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1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1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1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1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1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1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1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1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1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1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1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1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1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1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1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1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1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1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1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1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1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1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1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1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1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1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1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1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1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1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1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1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1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1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1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1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1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1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1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1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1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1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1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1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1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1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1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1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1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1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1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1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1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1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1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1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1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1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1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1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1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1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1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1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1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1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1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1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1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1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1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1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1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1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1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1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1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1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1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1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1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1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1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1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1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1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1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1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1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1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1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1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1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1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1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1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1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1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1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1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1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1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1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1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1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1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1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1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1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1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1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1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1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1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1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1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1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1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1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1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1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1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1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1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1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1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1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1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1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1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1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1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1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1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1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1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1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1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1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1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1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1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1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1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1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1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1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1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1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1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1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1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1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1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1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1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1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1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1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1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1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1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1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1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1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1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1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1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1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1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1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1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1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1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1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1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1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1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1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1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1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1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1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1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1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1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1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1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1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1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1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1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1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1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1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1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1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1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1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1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1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1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1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1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1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1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1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1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1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1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1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1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1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1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1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1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1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1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1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1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1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1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1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1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1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1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1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1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1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1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1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1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1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1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1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1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1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1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1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1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1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1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1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1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1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G3:G4"/>
    <mergeCell ref="H3:H4"/>
    <mergeCell ref="I3:I4"/>
    <mergeCell ref="J3:K3"/>
    <mergeCell ref="L3:M3"/>
    <mergeCell ref="N3:N4"/>
    <mergeCell ref="C1:O2"/>
    <mergeCell ref="A3:A4"/>
    <mergeCell ref="B3:B4"/>
    <mergeCell ref="C3:C4"/>
    <mergeCell ref="D3:D4"/>
    <mergeCell ref="E3:E4"/>
    <mergeCell ref="F3:F4"/>
    <mergeCell ref="O3:O4"/>
  </mergeCells>
  <drawing r:id="rId1"/>
</worksheet>
</file>